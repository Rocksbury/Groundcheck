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filterPrivacy="1" updateLinks="always" codeName="ThisWorkbook" defaultThemeVersion="124226"/>
  <xr:revisionPtr revIDLastSave="0" documentId="13_ncr:1_{2D842FB3-AFF6-430E-BE54-0B0AD4920073}" xr6:coauthVersionLast="47" xr6:coauthVersionMax="47" xr10:uidLastSave="{00000000-0000-0000-0000-000000000000}"/>
  <bookViews>
    <workbookView xWindow="-120" yWindow="-120" windowWidth="29040" windowHeight="15840" tabRatio="967" firstSheet="10" activeTab="23" xr2:uid="{F0D742A2-156F-4BDE-825A-74963A294C6B}"/>
  </bookViews>
  <sheets>
    <sheet name="Critical AMSE Min Max List" sheetId="33" r:id="rId1"/>
    <sheet name="minimum amse list" sheetId="41" r:id="rId2"/>
    <sheet name="AMSE Stats" sheetId="5" state="hidden" r:id="rId3"/>
    <sheet name="Calibrated Items" sheetId="31" r:id="rId4"/>
    <sheet name="Stands" sheetId="36" r:id="rId5"/>
    <sheet name="Tire Status" sheetId="16" state="hidden" r:id="rId6"/>
    <sheet name="Tools &amp; Test Equipment" sheetId="6" state="hidden" r:id="rId7"/>
    <sheet name="Critical Tool &amp; Equip Stats" sheetId="7" state="hidden" r:id="rId8"/>
    <sheet name="EPOS_LifeVest" sheetId="8" state="hidden" r:id="rId9"/>
    <sheet name="Overall Stats" sheetId="12" state="hidden" r:id="rId10"/>
    <sheet name="Vehicle List" sheetId="9" r:id="rId11"/>
    <sheet name="Tire Status " sheetId="20" r:id="rId12"/>
    <sheet name="Chart1" sheetId="35" state="hidden" r:id="rId13"/>
    <sheet name="Palletized Seat Tracking" sheetId="13" r:id="rId14"/>
    <sheet name="ATGL Tracking" sheetId="24" r:id="rId15"/>
    <sheet name="Maintenance Platforms (HSC)" sheetId="32" r:id="rId16"/>
    <sheet name="AMSE-deleted or WSM involved" sheetId="15" r:id="rId17"/>
    <sheet name="Not Inspected by AMSE" sheetId="18" r:id="rId18"/>
    <sheet name="Lifting Accessories" sheetId="17" r:id="rId19"/>
    <sheet name="ISU" sheetId="37" r:id="rId20"/>
    <sheet name="6 Hgr Split" sheetId="19" r:id="rId21"/>
    <sheet name="Small Engines" sheetId="27" r:id="rId22"/>
    <sheet name="ATGL Archive" sheetId="14" r:id="rId23"/>
    <sheet name="GC Log" sheetId="42" r:id="rId24"/>
  </sheets>
  <functionGroups builtInGroupCount="19"/>
  <definedNames>
    <definedName name="_xlnm._FilterDatabase" localSheetId="22" hidden="1">'ATGL Archive'!$U$3:$U$5</definedName>
    <definedName name="_xlnm._FilterDatabase" localSheetId="0" hidden="1">'Critical AMSE Min Max List'!$B$3:$N$161</definedName>
    <definedName name="_xlnm._FilterDatabase" localSheetId="8" hidden="1">EPOS_LifeVest!$A$1:$S$1</definedName>
    <definedName name="_xlnm._FilterDatabase" localSheetId="1" hidden="1">'minimum amse list'!#REF!</definedName>
    <definedName name="_xlnm._FilterDatabase" localSheetId="5" hidden="1">'Tire Status'!$E$11:$F$12</definedName>
    <definedName name="_xlnm._FilterDatabase" localSheetId="11" hidden="1">'Tire Status '!#REF!</definedName>
    <definedName name="_xlnm._FilterDatabase" localSheetId="10" hidden="1">'Vehicle List'!$C$15:$I$15</definedName>
    <definedName name="_xlnm.Print_Area" localSheetId="16">'AMSE-deleted or WSM involved'!$A$1:$H$29</definedName>
    <definedName name="_xlnm.Print_Area" localSheetId="22">'ATGL Archive'!$A$23:$E$79</definedName>
    <definedName name="_xlnm.Print_Area" localSheetId="0">'Critical AMSE Min Max List'!$B$1:$K$151</definedName>
    <definedName name="_xlnm.Print_Area" localSheetId="18">'Lifting Accessories'!$A$1:$J$57</definedName>
    <definedName name="_xlnm.Print_Area" localSheetId="1">'minimum amse list'!#REF!</definedName>
    <definedName name="_xlnm.Print_Area" localSheetId="5">'Tire Status'!$B$8:$C$37</definedName>
    <definedName name="_xlnm.Print_Area" localSheetId="11">'Tire Status '!$C$4:$D$12</definedName>
    <definedName name="_xlnm.Print_Area" localSheetId="10">'Vehicle List'!$C$14:$L$62</definedName>
    <definedName name="_xlnm.Print_Titles" localSheetId="16">'AMSE-deleted or WSM involved'!$1:$5</definedName>
    <definedName name="_xlnm.Print_Titles" localSheetId="0">'Critical AMSE Min Max List'!$1:$3</definedName>
    <definedName name="_xlnm.Print_Titles" localSheetId="18">'Lifting Accessories'!$1:$11</definedName>
    <definedName name="_xlnm.Print_Titles" localSheetId="1">'minimum amse list'!#REF!</definedName>
    <definedName name="_xlnm.Print_Titles" localSheetId="5">'Tire Status'!$4:$4</definedName>
    <definedName name="_xlnm.Print_Titles" localSheetId="6">'Tools &amp; Test Equipment'!#REF!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6" i="41" l="1"/>
  <c r="J27" i="41"/>
  <c r="J28" i="41"/>
  <c r="J29" i="41"/>
  <c r="J30" i="41"/>
  <c r="J31" i="41"/>
  <c r="J32" i="41"/>
  <c r="J25" i="41"/>
  <c r="J24" i="41"/>
  <c r="J16" i="41"/>
  <c r="J15" i="41"/>
  <c r="J13" i="41"/>
  <c r="J11" i="41"/>
  <c r="J12" i="41"/>
  <c r="J9" i="41"/>
  <c r="J8" i="41"/>
  <c r="J7" i="41"/>
  <c r="J6" i="41"/>
  <c r="J5" i="41"/>
  <c r="I160" i="33"/>
  <c r="I158" i="33"/>
  <c r="I157" i="33"/>
  <c r="I154" i="33"/>
  <c r="I151" i="33"/>
  <c r="I149" i="33"/>
  <c r="I148" i="33"/>
  <c r="I143" i="33"/>
  <c r="I141" i="33"/>
  <c r="I140" i="33"/>
  <c r="I139" i="33"/>
  <c r="I136" i="33"/>
  <c r="I132" i="33"/>
  <c r="I131" i="33"/>
  <c r="I126" i="33"/>
  <c r="I124" i="33"/>
  <c r="I120" i="33"/>
  <c r="I122" i="33"/>
  <c r="I118" i="33"/>
  <c r="I115" i="33"/>
  <c r="I112" i="33"/>
  <c r="I110" i="33"/>
  <c r="I108" i="33"/>
  <c r="I102" i="33"/>
  <c r="I85" i="33"/>
  <c r="I72" i="33"/>
  <c r="I70" i="33"/>
  <c r="I68" i="33"/>
  <c r="I64" i="33"/>
  <c r="I58" i="33"/>
  <c r="I56" i="33"/>
  <c r="I53" i="33"/>
  <c r="I52" i="33"/>
  <c r="I51" i="33"/>
  <c r="I50" i="33"/>
  <c r="I49" i="33"/>
  <c r="I44" i="33"/>
  <c r="I40" i="33"/>
  <c r="I37" i="33"/>
  <c r="I36" i="33"/>
  <c r="I33" i="33"/>
  <c r="I32" i="33"/>
  <c r="I28" i="33"/>
  <c r="I24" i="33"/>
  <c r="I22" i="33"/>
  <c r="I17" i="33"/>
  <c r="I18" i="33"/>
  <c r="I15" i="33"/>
  <c r="I13" i="33"/>
  <c r="I11" i="33"/>
  <c r="I6" i="33"/>
  <c r="I4" i="33"/>
  <c r="H22" i="24"/>
  <c r="H23" i="24"/>
  <c r="H24" i="24"/>
  <c r="H7" i="24"/>
  <c r="H3" i="24"/>
  <c r="H19" i="24"/>
  <c r="H18" i="24"/>
  <c r="B4" i="20"/>
  <c r="H3" i="14"/>
  <c r="I3" i="14" s="1"/>
  <c r="C8" i="12" s="1"/>
  <c r="N25" i="14"/>
  <c r="N26" i="14"/>
  <c r="D27" i="14"/>
  <c r="D28" i="14"/>
  <c r="D29" i="14"/>
  <c r="D33" i="14"/>
  <c r="D34" i="14"/>
  <c r="N41" i="14"/>
  <c r="D42" i="14"/>
  <c r="N42" i="14"/>
  <c r="D43" i="14"/>
  <c r="D44" i="14"/>
  <c r="D48" i="14"/>
  <c r="D49" i="14"/>
  <c r="D57" i="14"/>
  <c r="N57" i="14"/>
  <c r="D58" i="14"/>
  <c r="N58" i="14"/>
  <c r="D59" i="14"/>
  <c r="D63" i="14"/>
  <c r="D64" i="14"/>
  <c r="D72" i="14"/>
  <c r="D73" i="14"/>
  <c r="N73" i="14"/>
  <c r="D74" i="14"/>
  <c r="N74" i="14"/>
  <c r="D78" i="14"/>
  <c r="D79" i="14"/>
  <c r="M1" i="17"/>
  <c r="N1" i="17"/>
  <c r="H12" i="17"/>
  <c r="I12" i="17" s="1"/>
  <c r="J12" i="17"/>
  <c r="H14" i="17"/>
  <c r="I15" i="17" s="1"/>
  <c r="I16" i="17"/>
  <c r="J16" i="17"/>
  <c r="H18" i="17"/>
  <c r="I18" i="17" s="1"/>
  <c r="J18" i="17"/>
  <c r="H19" i="17"/>
  <c r="I19" i="17" s="1"/>
  <c r="H20" i="17"/>
  <c r="I20" i="17" s="1"/>
  <c r="H22" i="17"/>
  <c r="I22" i="17"/>
  <c r="J22" i="17"/>
  <c r="H23" i="17"/>
  <c r="I23" i="17" s="1"/>
  <c r="J23" i="17"/>
  <c r="H24" i="17"/>
  <c r="I24" i="17" s="1"/>
  <c r="H25" i="17"/>
  <c r="I25" i="17"/>
  <c r="J25" i="17"/>
  <c r="H26" i="17"/>
  <c r="J26" i="17" s="1"/>
  <c r="I26" i="17"/>
  <c r="H28" i="17"/>
  <c r="I28" i="17" s="1"/>
  <c r="J28" i="17"/>
  <c r="H30" i="17"/>
  <c r="I30" i="17" s="1"/>
  <c r="H31" i="17"/>
  <c r="I31" i="17" s="1"/>
  <c r="H32" i="17"/>
  <c r="I32" i="17"/>
  <c r="J32" i="17"/>
  <c r="H33" i="17"/>
  <c r="I33" i="17"/>
  <c r="J33" i="17"/>
  <c r="I35" i="17"/>
  <c r="J35" i="17"/>
  <c r="N1" i="18"/>
  <c r="O1" i="18"/>
  <c r="G12" i="18"/>
  <c r="H2" i="24"/>
  <c r="H6" i="24"/>
  <c r="H10" i="24"/>
  <c r="H11" i="24"/>
  <c r="H14" i="24"/>
  <c r="H15" i="24"/>
  <c r="H20" i="24"/>
  <c r="H26" i="24"/>
  <c r="H27" i="24"/>
  <c r="H28" i="24"/>
  <c r="H30" i="24"/>
  <c r="H32" i="24"/>
  <c r="H115" i="24"/>
  <c r="T2" i="13"/>
  <c r="U2" i="13"/>
  <c r="S7" i="13"/>
  <c r="AK2" i="9"/>
  <c r="AL2" i="9"/>
  <c r="AN2" i="9"/>
  <c r="AO2" i="9"/>
  <c r="AR4" i="9"/>
  <c r="F61" i="9"/>
  <c r="C6" i="12"/>
  <c r="E6" i="12"/>
  <c r="C7" i="12"/>
  <c r="E7" i="12"/>
  <c r="P1" i="8"/>
  <c r="Q1" i="8"/>
  <c r="F10" i="8"/>
  <c r="F16" i="8"/>
  <c r="I20" i="8"/>
  <c r="J20" i="8"/>
  <c r="F2" i="8" s="1"/>
  <c r="K20" i="8"/>
  <c r="I35" i="8"/>
  <c r="J35" i="8" s="1"/>
  <c r="F3" i="8" s="1"/>
  <c r="I50" i="8"/>
  <c r="J50" i="8"/>
  <c r="K50" i="8"/>
  <c r="I65" i="8"/>
  <c r="K65" i="8" s="1"/>
  <c r="J65" i="8"/>
  <c r="I80" i="8"/>
  <c r="J80" i="8" s="1"/>
  <c r="K80" i="8"/>
  <c r="I95" i="8"/>
  <c r="J95" i="8" s="1"/>
  <c r="F7" i="8" s="1"/>
  <c r="I110" i="8"/>
  <c r="J110" i="8" s="1"/>
  <c r="F8" i="8" s="1"/>
  <c r="I125" i="8"/>
  <c r="J125" i="8"/>
  <c r="K125" i="8"/>
  <c r="I140" i="8"/>
  <c r="J140" i="8"/>
  <c r="K140" i="8"/>
  <c r="I155" i="8"/>
  <c r="J155" i="8" s="1"/>
  <c r="F11" i="8" s="1"/>
  <c r="I165" i="8"/>
  <c r="J165" i="8"/>
  <c r="K165" i="8"/>
  <c r="I175" i="8"/>
  <c r="K175" i="8" s="1"/>
  <c r="J175" i="8"/>
  <c r="I185" i="8"/>
  <c r="J185" i="8" s="1"/>
  <c r="K185" i="8"/>
  <c r="I195" i="8"/>
  <c r="J195" i="8" s="1"/>
  <c r="F15" i="8" s="1"/>
  <c r="I205" i="8"/>
  <c r="J205" i="8" s="1"/>
  <c r="I215" i="8"/>
  <c r="J215" i="8"/>
  <c r="K215" i="8"/>
  <c r="I225" i="8"/>
  <c r="J225" i="8"/>
  <c r="F18" i="8" s="1"/>
  <c r="K225" i="8"/>
  <c r="I235" i="8"/>
  <c r="J235" i="8" s="1"/>
  <c r="F19" i="8" s="1"/>
  <c r="I245" i="8"/>
  <c r="J245" i="8"/>
  <c r="K245" i="8"/>
  <c r="I260" i="8"/>
  <c r="K260" i="8" s="1"/>
  <c r="J260" i="8"/>
  <c r="I275" i="8"/>
  <c r="J275" i="8" s="1"/>
  <c r="K275" i="8"/>
  <c r="I290" i="8"/>
  <c r="J290" i="8" s="1"/>
  <c r="I305" i="8"/>
  <c r="J305" i="8" s="1"/>
  <c r="I320" i="8"/>
  <c r="J320" i="8"/>
  <c r="K320" i="8"/>
  <c r="I335" i="8"/>
  <c r="J335" i="8"/>
  <c r="K335" i="8"/>
  <c r="I350" i="8"/>
  <c r="J350" i="8" s="1"/>
  <c r="F9" i="8" s="1"/>
  <c r="I365" i="8"/>
  <c r="J365" i="8"/>
  <c r="K365" i="8"/>
  <c r="I380" i="8"/>
  <c r="K380" i="8" s="1"/>
  <c r="J380" i="8"/>
  <c r="I390" i="8"/>
  <c r="J390" i="8" s="1"/>
  <c r="K390" i="8"/>
  <c r="I400" i="8"/>
  <c r="J400" i="8" s="1"/>
  <c r="I410" i="8"/>
  <c r="J410" i="8" s="1"/>
  <c r="I420" i="8"/>
  <c r="J420" i="8"/>
  <c r="K420" i="8"/>
  <c r="I430" i="8"/>
  <c r="J430" i="8"/>
  <c r="K430" i="8"/>
  <c r="I440" i="8"/>
  <c r="J440" i="8" s="1"/>
  <c r="I450" i="8"/>
  <c r="J450" i="8"/>
  <c r="K450" i="8"/>
  <c r="I460" i="8"/>
  <c r="K460" i="8" s="1"/>
  <c r="J460" i="8"/>
  <c r="C2" i="7"/>
  <c r="C3" i="7"/>
  <c r="C14" i="7" s="1"/>
  <c r="C4" i="7"/>
  <c r="C5" i="7"/>
  <c r="C6" i="7"/>
  <c r="C7" i="7"/>
  <c r="C8" i="7"/>
  <c r="C9" i="7"/>
  <c r="C10" i="7"/>
  <c r="C11" i="7"/>
  <c r="C12" i="7"/>
  <c r="C13" i="7"/>
  <c r="C16" i="7"/>
  <c r="C17" i="7"/>
  <c r="N1" i="6"/>
  <c r="O1" i="6"/>
  <c r="G2" i="6"/>
  <c r="H2" i="6" s="1"/>
  <c r="G4" i="6"/>
  <c r="I4" i="6" s="1"/>
  <c r="H4" i="6"/>
  <c r="G10" i="6"/>
  <c r="I10" i="6" s="1"/>
  <c r="H10" i="6"/>
  <c r="G12" i="6"/>
  <c r="H12" i="6" s="1"/>
  <c r="I12" i="6"/>
  <c r="G14" i="6"/>
  <c r="H14" i="6" s="1"/>
  <c r="G26" i="6"/>
  <c r="H26" i="6" s="1"/>
  <c r="G29" i="6"/>
  <c r="H29" i="6"/>
  <c r="I29" i="6"/>
  <c r="G32" i="6"/>
  <c r="H32" i="6"/>
  <c r="I32" i="6"/>
  <c r="G54" i="6"/>
  <c r="H54" i="6" s="1"/>
  <c r="G58" i="6"/>
  <c r="I58" i="6" s="1"/>
  <c r="H58" i="6"/>
  <c r="G62" i="6"/>
  <c r="I62" i="6" s="1"/>
  <c r="H62" i="6"/>
  <c r="G79" i="6"/>
  <c r="H79" i="6" s="1"/>
  <c r="I79" i="6"/>
  <c r="G81" i="6"/>
  <c r="H81" i="6" s="1"/>
  <c r="G82" i="6"/>
  <c r="H82" i="6" s="1"/>
  <c r="G86" i="6"/>
  <c r="H86" i="6"/>
  <c r="I86" i="6"/>
  <c r="G87" i="6"/>
  <c r="H87" i="6"/>
  <c r="I87" i="6"/>
  <c r="G88" i="6"/>
  <c r="H88" i="6" s="1"/>
  <c r="G92" i="6"/>
  <c r="I92" i="6" s="1"/>
  <c r="H92" i="6"/>
  <c r="G95" i="6"/>
  <c r="I95" i="6" s="1"/>
  <c r="H95" i="6"/>
  <c r="G97" i="6"/>
  <c r="H97" i="6" s="1"/>
  <c r="I97" i="6"/>
  <c r="G99" i="6"/>
  <c r="H99" i="6" s="1"/>
  <c r="G115" i="6"/>
  <c r="H115" i="6" s="1"/>
  <c r="G117" i="6"/>
  <c r="H117" i="6"/>
  <c r="I117" i="6"/>
  <c r="G121" i="6"/>
  <c r="H121" i="6"/>
  <c r="I121" i="6"/>
  <c r="G137" i="6"/>
  <c r="H137" i="6" s="1"/>
  <c r="G143" i="6"/>
  <c r="I143" i="6" s="1"/>
  <c r="H143" i="6"/>
  <c r="G147" i="6"/>
  <c r="I147" i="6" s="1"/>
  <c r="H147" i="6"/>
  <c r="G156" i="6"/>
  <c r="G173" i="6"/>
  <c r="H173" i="6"/>
  <c r="I173" i="6"/>
  <c r="G176" i="6"/>
  <c r="H176" i="6"/>
  <c r="I176" i="6"/>
  <c r="H9" i="16"/>
  <c r="Q2" i="31"/>
  <c r="R2" i="31"/>
  <c r="Q3" i="31"/>
  <c r="R3" i="31"/>
  <c r="Q4" i="31"/>
  <c r="R4" i="31"/>
  <c r="Q5" i="31"/>
  <c r="R5" i="31"/>
  <c r="Q7" i="31"/>
  <c r="R7" i="31"/>
  <c r="Q8" i="31"/>
  <c r="R8" i="31"/>
  <c r="Q9" i="31"/>
  <c r="R9" i="31"/>
  <c r="Q10" i="31"/>
  <c r="R10" i="31"/>
  <c r="Q23" i="31"/>
  <c r="R23" i="31"/>
  <c r="Q75" i="31"/>
  <c r="R75" i="31"/>
  <c r="Q76" i="31"/>
  <c r="R76" i="31"/>
  <c r="Q79" i="31"/>
  <c r="R79" i="31"/>
  <c r="Q80" i="31"/>
  <c r="R80" i="31"/>
  <c r="Q113" i="31"/>
  <c r="R113" i="31"/>
  <c r="Q114" i="31"/>
  <c r="R114" i="31"/>
  <c r="Q115" i="31"/>
  <c r="R115" i="31"/>
  <c r="Q116" i="31"/>
  <c r="R116" i="31"/>
  <c r="C2" i="5"/>
  <c r="C3" i="5"/>
  <c r="C5" i="5"/>
  <c r="C6" i="5"/>
  <c r="C8" i="5"/>
  <c r="C4" i="12" s="1"/>
  <c r="C9" i="5"/>
  <c r="E4" i="12"/>
  <c r="H4" i="33"/>
  <c r="J4" i="33" s="1"/>
  <c r="H11" i="33"/>
  <c r="J13" i="33"/>
  <c r="H15" i="33"/>
  <c r="J15" i="33" s="1"/>
  <c r="H17" i="33"/>
  <c r="J17" i="33" s="1"/>
  <c r="H18" i="33"/>
  <c r="J18" i="33" s="1"/>
  <c r="H22" i="33"/>
  <c r="J22" i="33" s="1"/>
  <c r="H24" i="33"/>
  <c r="J24" i="33" s="1"/>
  <c r="H28" i="33"/>
  <c r="H32" i="33"/>
  <c r="J32" i="33" s="1"/>
  <c r="J34" i="33"/>
  <c r="H36" i="33"/>
  <c r="J36" i="33" s="1"/>
  <c r="H39" i="33"/>
  <c r="J42" i="33"/>
  <c r="I43" i="33"/>
  <c r="J43" i="33"/>
  <c r="H44" i="33"/>
  <c r="H49" i="33"/>
  <c r="J49" i="33" s="1"/>
  <c r="H50" i="33"/>
  <c r="J50" i="33" s="1"/>
  <c r="H51" i="33"/>
  <c r="J51" i="33" s="1"/>
  <c r="H52" i="33"/>
  <c r="J52" i="33" s="1"/>
  <c r="J53" i="33"/>
  <c r="H56" i="33"/>
  <c r="J56" i="33" s="1"/>
  <c r="J58" i="33"/>
  <c r="H64" i="33"/>
  <c r="J64" i="33" s="1"/>
  <c r="H68" i="33"/>
  <c r="J68" i="33" s="1"/>
  <c r="H70" i="33"/>
  <c r="J70" i="33" s="1"/>
  <c r="J72" i="33"/>
  <c r="J102" i="33"/>
  <c r="H108" i="33"/>
  <c r="J110" i="33"/>
  <c r="H112" i="33"/>
  <c r="H115" i="33"/>
  <c r="H118" i="33"/>
  <c r="J118" i="33" s="1"/>
  <c r="J120" i="33"/>
  <c r="H124" i="33"/>
  <c r="J124" i="33" s="1"/>
  <c r="J126" i="33"/>
  <c r="H131" i="33"/>
  <c r="J132" i="33"/>
  <c r="H139" i="33"/>
  <c r="H140" i="33"/>
  <c r="H141" i="33"/>
  <c r="H143" i="33"/>
  <c r="H145" i="33"/>
  <c r="H148" i="33"/>
  <c r="J39" i="33"/>
  <c r="J11" i="33" l="1"/>
  <c r="J112" i="33"/>
  <c r="J44" i="33"/>
  <c r="C19" i="7"/>
  <c r="C5" i="12" s="1"/>
  <c r="F14" i="8"/>
  <c r="F6" i="8"/>
  <c r="F13" i="8"/>
  <c r="F17" i="8"/>
  <c r="F5" i="8"/>
  <c r="D472" i="8"/>
  <c r="F12" i="8"/>
  <c r="I11" i="8" s="1"/>
  <c r="F4" i="8"/>
  <c r="I2" i="8" s="1"/>
  <c r="I137" i="6"/>
  <c r="I88" i="6"/>
  <c r="I54" i="6"/>
  <c r="I2" i="6"/>
  <c r="C20" i="7" s="1"/>
  <c r="E5" i="12" s="1"/>
  <c r="K440" i="8"/>
  <c r="K350" i="8"/>
  <c r="K235" i="8"/>
  <c r="K155" i="8"/>
  <c r="K35" i="8"/>
  <c r="J24" i="17"/>
  <c r="J3" i="14"/>
  <c r="E8" i="12" s="1"/>
  <c r="J28" i="33"/>
  <c r="I115" i="6"/>
  <c r="I82" i="6"/>
  <c r="I26" i="6"/>
  <c r="D471" i="8"/>
  <c r="K410" i="8"/>
  <c r="K305" i="8"/>
  <c r="K205" i="8"/>
  <c r="K110" i="8"/>
  <c r="J31" i="17"/>
  <c r="J20" i="17"/>
  <c r="I99" i="6"/>
  <c r="I81" i="6"/>
  <c r="I14" i="6"/>
  <c r="K400" i="8"/>
  <c r="K290" i="8"/>
  <c r="K195" i="8"/>
  <c r="K95" i="8"/>
  <c r="J30" i="17"/>
  <c r="J19" i="17"/>
  <c r="J15" i="17"/>
  <c r="J109" i="33"/>
  <c r="J11" i="8" l="1"/>
  <c r="K11" i="8"/>
  <c r="J2" i="8"/>
  <c r="K2" i="8"/>
  <c r="E472" i="8" s="1"/>
  <c r="E471" i="8" l="1"/>
</calcChain>
</file>

<file path=xl/sharedStrings.xml><?xml version="1.0" encoding="utf-8"?>
<sst xmlns="http://schemas.openxmlformats.org/spreadsheetml/2006/main" count="7448" uniqueCount="2886">
  <si>
    <t>Critical AMSE Min/Max Monitoring List</t>
  </si>
  <si>
    <t>Serviceable</t>
  </si>
  <si>
    <t>Inspection/Cal</t>
  </si>
  <si>
    <t>Unserviceable</t>
  </si>
  <si>
    <t>Deployed</t>
  </si>
  <si>
    <t>Callsign</t>
  </si>
  <si>
    <t>SER</t>
  </si>
  <si>
    <t>Name / NSN</t>
  </si>
  <si>
    <t>Item Condition</t>
  </si>
  <si>
    <t>Total</t>
  </si>
  <si>
    <t>Min</t>
  </si>
  <si>
    <t>Status</t>
  </si>
  <si>
    <t>%</t>
  </si>
  <si>
    <t>Min %</t>
  </si>
  <si>
    <t>Special Notes</t>
  </si>
  <si>
    <t>Update by</t>
  </si>
  <si>
    <t>Insp Date Due</t>
  </si>
  <si>
    <t>Current Location</t>
  </si>
  <si>
    <t>LCMM</t>
  </si>
  <si>
    <t>TNT 003</t>
  </si>
  <si>
    <t>75046-2</t>
  </si>
  <si>
    <t>CRANE, FLOOR, PORTABLE      (NSN 3950-01-443-2553)</t>
  </si>
  <si>
    <t>MCPL SOO LUM</t>
  </si>
  <si>
    <t>6 HGR</t>
  </si>
  <si>
    <t>Ron Mann
819-939-4955</t>
  </si>
  <si>
    <t>TNT 642</t>
  </si>
  <si>
    <t>75046-3</t>
  </si>
  <si>
    <t>47 NSD</t>
  </si>
  <si>
    <t>013</t>
  </si>
  <si>
    <t>20533748</t>
  </si>
  <si>
    <t xml:space="preserve"> SELF-GENERATING NITROGEN SERVICE CART  (NSN 3655-01-463-3338)    0-600  gauge 6685-01-478-4241 0-6001</t>
  </si>
  <si>
    <t>Windatt</t>
  </si>
  <si>
    <t>WEST RAMP</t>
  </si>
  <si>
    <t>TNT 7005</t>
  </si>
  <si>
    <t>115063</t>
  </si>
  <si>
    <t xml:space="preserve"> SELF-GENERATING NITROGEN SERVICE CART  (NSN 3655-01-463-3338)    
0-600  gauge 6685-01-478-4241 0-6002</t>
  </si>
  <si>
    <t>11 MAR 26: NO ETA ON RETURN awaiting new compressor, 02-June-2026 waiting on parts</t>
  </si>
  <si>
    <t xml:space="preserve">SOO LUM </t>
  </si>
  <si>
    <t>TEME</t>
  </si>
  <si>
    <t>TNT 637</t>
  </si>
  <si>
    <t xml:space="preserve">115067 </t>
  </si>
  <si>
    <t xml:space="preserve"> SELF-GENERATING NITROGEN SERVICE CART  (NSN 3655-01-463-3338)    
0-600  gauge 6685-01-478-4241 0-6003</t>
  </si>
  <si>
    <t>11 MAR 26: Currently at TEME undergoing inspection and repair</t>
  </si>
  <si>
    <t>TNT 1534</t>
  </si>
  <si>
    <t>115070</t>
  </si>
  <si>
    <t xml:space="preserve"> SELF-GENERATING NITROGEN SERVICE CART  (NSN 3655-01-463-3338)    
0-600  gauge 6685-01-478-4241 0-6004</t>
  </si>
  <si>
    <t>RTU 12-may-2026</t>
  </si>
  <si>
    <t>TNT 162</t>
  </si>
  <si>
    <t>GA6162</t>
  </si>
  <si>
    <t>Two Cylinder NITROGEN Servicing Cart w/ Booster   (NSN 3655-21-898-2948)</t>
  </si>
  <si>
    <t>Inspection/cal</t>
  </si>
  <si>
    <t>At TEME</t>
  </si>
  <si>
    <t>Nevins</t>
  </si>
  <si>
    <t>?</t>
  </si>
  <si>
    <t>TNT 887</t>
  </si>
  <si>
    <t>PMUAT0089</t>
  </si>
  <si>
    <t>TANK AND PUMP UNIT WITH 10/10 OIL   (NSN 4930-00-620-2406)</t>
  </si>
  <si>
    <t>Ready for Pickup</t>
  </si>
  <si>
    <t>RICHMOND</t>
  </si>
  <si>
    <t>TNT 049</t>
  </si>
  <si>
    <t>98899-41</t>
  </si>
  <si>
    <t>TANK AND PUMP UNIT WITH 10/10 OIL    (NSN 4930-01-132-2444)</t>
  </si>
  <si>
    <t>ST-DENIS</t>
  </si>
  <si>
    <t>7 HGR SHELTER</t>
  </si>
  <si>
    <t>TNT 088</t>
  </si>
  <si>
    <t>MAINTENANCE, PLATFORM, AIRCRAFT (B2 STAND)  (NSN 1730-00-390-5620)</t>
  </si>
  <si>
    <t>NARULA</t>
  </si>
  <si>
    <t>NORTH RAMP</t>
  </si>
  <si>
    <t>Randolph Godin
819-939-4413</t>
  </si>
  <si>
    <t>TNT 089</t>
  </si>
  <si>
    <t>0053</t>
  </si>
  <si>
    <t>Cpl Docherty</t>
  </si>
  <si>
    <t>TNT 090</t>
  </si>
  <si>
    <t>0125TNT090</t>
  </si>
  <si>
    <t>MAINTENANCE PLATFORM   AIRCRAFT 3 - 10 FT (B1 STAND)  (NSN 1730-00-390-5618)</t>
  </si>
  <si>
    <t>8 May 24: Reported with missing tow bar plug-in adapter via email</t>
  </si>
  <si>
    <t>TNT 091</t>
  </si>
  <si>
    <t>0125TNT091</t>
  </si>
  <si>
    <t xml:space="preserve"> </t>
  </si>
  <si>
    <t>TNT 093</t>
  </si>
  <si>
    <t>0125TNT093</t>
  </si>
  <si>
    <t>MAINTENANCE PLATFORM AIRCRAFT ADJUSTABLE 3 - 7 FT TYPE B-4  (NSN 1730-00-294-8883)</t>
  </si>
  <si>
    <t>26 Nov 25: Unit Deemed "BLR" By TEME</t>
  </si>
  <si>
    <t>TNT 100</t>
  </si>
  <si>
    <t>9875 200041</t>
  </si>
  <si>
    <t>SUPPORT STRUCTURAL COMPONENT -     MLG / NLG (NSN 1730-01-316-3125)</t>
  </si>
  <si>
    <t xml:space="preserve">1 HGR </t>
  </si>
  <si>
    <t>TNT 101</t>
  </si>
  <si>
    <t>9875 200026</t>
  </si>
  <si>
    <t>TNT 688</t>
  </si>
  <si>
    <t>9875 200057</t>
  </si>
  <si>
    <t>TNT 689</t>
  </si>
  <si>
    <t>9875 200059</t>
  </si>
  <si>
    <t>TNT 114</t>
  </si>
  <si>
    <t>0001</t>
  </si>
  <si>
    <t>JACK / RAT ADAPTER  (NSN 4910-01-491-9783)</t>
  </si>
  <si>
    <t>TNT 865</t>
  </si>
  <si>
    <t>0011</t>
  </si>
  <si>
    <t>TNT 164</t>
  </si>
  <si>
    <t>3E6C4-33</t>
  </si>
  <si>
    <t>FIXTURE, HOIST LANDING GEAR  TIRE AND WHEEL, BRAKE &amp;  TIRE SLING  (NSN 4920-01-524-6874)</t>
  </si>
  <si>
    <t>TNT 862</t>
  </si>
  <si>
    <t>0023</t>
  </si>
  <si>
    <t>TNT 875</t>
  </si>
  <si>
    <t>3VXJ2-0018</t>
  </si>
  <si>
    <t>Add line under No TNT number, Hoist Landing gear Serial Number OJB79-0001</t>
  </si>
  <si>
    <t>TNT 881</t>
  </si>
  <si>
    <t>3VXJ2-0017</t>
  </si>
  <si>
    <t>TNT 189</t>
  </si>
  <si>
    <t>5010</t>
  </si>
  <si>
    <t>FIXTURE, INSTALLATION AND REMOVAL - APU    (NSN 1730-01-512-7155)</t>
  </si>
  <si>
    <t>TNT 7011</t>
  </si>
  <si>
    <t>1K9Z0-37</t>
  </si>
  <si>
    <t>TNT 7012</t>
  </si>
  <si>
    <t>4D3B0-0003</t>
  </si>
  <si>
    <t>TNT 874</t>
  </si>
  <si>
    <t>4D3B0-0013</t>
  </si>
  <si>
    <t>TNT 275</t>
  </si>
  <si>
    <t>1WKN015</t>
  </si>
  <si>
    <t>FIXTURE, AIRCRAFT MAINTENANCE (SLTA)    (NSN 4920-01-504-8127)</t>
  </si>
  <si>
    <t>TNT 267</t>
  </si>
  <si>
    <t>020</t>
  </si>
  <si>
    <t>MAINTENANCE, PLATFORM,  AIRCRAFT, ADJUSTABLE, B7-16      (NSN 1730-01-009-0446)</t>
  </si>
  <si>
    <t>In 1 Hgr 2 bay,pump n/s,  waiting parts</t>
  </si>
  <si>
    <t>TNT 276</t>
  </si>
  <si>
    <t>0033</t>
  </si>
  <si>
    <t>flat wheel, broken stabilizer crank, TEME house call requested</t>
  </si>
  <si>
    <t>TNT 277</t>
  </si>
  <si>
    <t>0038</t>
  </si>
  <si>
    <t>In 6 Hgr 1 bay</t>
  </si>
  <si>
    <t>1 HGR</t>
  </si>
  <si>
    <t>TNT 278</t>
  </si>
  <si>
    <t>1PNN8-05</t>
  </si>
  <si>
    <t>ADAPTER, GROUND HANDLING EQUIPMENT (FLAP HANDLING FIXTURE) (NSN 1730-01-282-1038)</t>
  </si>
  <si>
    <t>TNT914</t>
  </si>
  <si>
    <t>600905-3</t>
  </si>
  <si>
    <t>Spokane Fuel Bowser  NSN:   (2330-01-558-5335)</t>
  </si>
  <si>
    <t>26-05-26 RTU serv</t>
  </si>
  <si>
    <t>Peter Dioguardi
819-939-4409</t>
  </si>
  <si>
    <t>TNT915</t>
  </si>
  <si>
    <t>600905-2</t>
  </si>
  <si>
    <t>29-APR-2026 overdue inspection</t>
  </si>
  <si>
    <t xml:space="preserve">TNT 348 </t>
  </si>
  <si>
    <t xml:space="preserve">9567-23  </t>
  </si>
  <si>
    <t>FUEL BOWSER   (NSN 2330-01-507-3883)</t>
  </si>
  <si>
    <t>27-05-26   RTU serv</t>
  </si>
  <si>
    <t>TNT 627</t>
  </si>
  <si>
    <t>6349</t>
  </si>
  <si>
    <t>CONTINUOUS AIR START UNIT  (NSN 2815-01-398-3104)</t>
  </si>
  <si>
    <t>Martin kellen
919-839-4247</t>
  </si>
  <si>
    <t>TNT 7010</t>
  </si>
  <si>
    <t>6284</t>
  </si>
  <si>
    <t>TNT 869</t>
  </si>
  <si>
    <t>6351</t>
  </si>
  <si>
    <t>TNT 352</t>
  </si>
  <si>
    <t>0293</t>
  </si>
  <si>
    <t>FUEL CELL VENTILATION AND PERSONNEL RESPIRATION SYSTEM (NSN 4240-01-326-0421)</t>
  </si>
  <si>
    <t>TNT 353</t>
  </si>
  <si>
    <t>4965</t>
  </si>
  <si>
    <t>FLOODLIGHT, TRAILER MOUNTED, 6 KW, MULTI FUEL (NSN 6230-01-439-3732)</t>
  </si>
  <si>
    <t>At TEME for inspection 8 June 26</t>
  </si>
  <si>
    <t>TNT 354</t>
  </si>
  <si>
    <t>4966</t>
  </si>
  <si>
    <t>Returned to 6 HGR 2-June-26</t>
  </si>
  <si>
    <t>TNT 355</t>
  </si>
  <si>
    <t>4972</t>
  </si>
  <si>
    <t>TNT 356</t>
  </si>
  <si>
    <t>4976</t>
  </si>
  <si>
    <t>14 Apr 26 : sent to TEME : dead battery</t>
  </si>
  <si>
    <t>TNT 846</t>
  </si>
  <si>
    <t>1007651</t>
  </si>
  <si>
    <t>FLOODLIGHT TRAILER    (NSN 6230-01-551-2664)</t>
  </si>
  <si>
    <t>TNT 367</t>
  </si>
  <si>
    <t>9231-64</t>
  </si>
  <si>
    <t>PUMPING UNIT, HYDRAULIC DIESEL ENGINE DRIVEN (NSN 4320-01-399-1758)  (JACKING CONSOLE)</t>
  </si>
  <si>
    <t>TNT 368</t>
  </si>
  <si>
    <t>0004</t>
  </si>
  <si>
    <t>TRUCK, LIFT, NOSE LANDING GEAR  (NSN 1730-01-291-9248)</t>
  </si>
  <si>
    <t>TNT 369</t>
  </si>
  <si>
    <t>00020</t>
  </si>
  <si>
    <t>STAND, MAINTENANCE - ENGINE INLET ASSEMBLY FOR C-17 (NSN 1730-01-314-3209)</t>
  </si>
  <si>
    <t>TNT 370</t>
  </si>
  <si>
    <t>0017</t>
  </si>
  <si>
    <t>HOLDER, MAINTENANCE - FAN THRUST REVERSER DUCT  (NSN 1730-01-301-6240)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</si>
  <si>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</si>
  <si>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TNT 347</t>
  </si>
  <si>
    <t>2112-05-3503</t>
  </si>
  <si>
    <t>HEATER, DUCT TYPE, PORTABLE (USAF TYPE)  (NSN 4520-01-482-8571)</t>
  </si>
  <si>
    <t>Taken to TEME June 9th 2026</t>
  </si>
  <si>
    <t>TNT 414</t>
  </si>
  <si>
    <t>2112-05-3490</t>
  </si>
  <si>
    <t>@ TEME waiting on parts  03 June 2026</t>
  </si>
  <si>
    <t>TNT 896</t>
  </si>
  <si>
    <t>10923</t>
  </si>
  <si>
    <t>HEATER, DUCT TYPE, PORTABLE  (NSN 4520-58-000-0441 )</t>
  </si>
  <si>
    <t>TNT 459</t>
  </si>
  <si>
    <t>012</t>
  </si>
  <si>
    <t>MOBILE CRANE, PORTA LOADER (NSN 3950-01-462-6034)</t>
  </si>
  <si>
    <t>TNT 460</t>
  </si>
  <si>
    <t>009</t>
  </si>
  <si>
    <t>located in jump school cage</t>
  </si>
  <si>
    <t>TNT 201</t>
  </si>
  <si>
    <t>0064</t>
  </si>
  <si>
    <t xml:space="preserve"> TOW BAR   (NSN 1730-01-534-6421)</t>
  </si>
  <si>
    <t>TBD</t>
  </si>
  <si>
    <t>TNT 508</t>
  </si>
  <si>
    <t>0813</t>
  </si>
  <si>
    <t>19 Feb 26 : Sent to TEME for repair and inspection - 06 Feb 26: Tire flat and won't inflate</t>
  </si>
  <si>
    <t>TNT 826</t>
  </si>
  <si>
    <t>1019</t>
  </si>
  <si>
    <t>TNT 827</t>
  </si>
  <si>
    <t>1020</t>
  </si>
  <si>
    <t>TNT 879</t>
  </si>
  <si>
    <t>1018</t>
  </si>
  <si>
    <t>St-Denis</t>
  </si>
  <si>
    <t>TNT 814</t>
  </si>
  <si>
    <t>TNT 364</t>
  </si>
  <si>
    <t>10224-7</t>
  </si>
  <si>
    <t xml:space="preserve">JACK, AIRCRAFT, NLG LANDING GEAR (NSN 1730-00-913-7292)   ( NLG AXLE JACK) </t>
  </si>
  <si>
    <t>TNT 868</t>
  </si>
  <si>
    <t>11505-1</t>
  </si>
  <si>
    <t>Milfort</t>
  </si>
  <si>
    <t>TNT 873</t>
  </si>
  <si>
    <t>11505-2</t>
  </si>
  <si>
    <t>TNT 854</t>
  </si>
  <si>
    <t>11371-24</t>
  </si>
  <si>
    <t>29 APR 26: Quarantined for EX storm flag</t>
  </si>
  <si>
    <t>TNT 859</t>
  </si>
  <si>
    <t>11034-2</t>
  </si>
  <si>
    <r>
      <rPr>
        <sz val="14"/>
        <color rgb="FF000000"/>
        <rFont val="Calibri"/>
        <scheme val="minor"/>
      </rPr>
      <t>TRUCK, LIFT, NOSE LANDING GEAR.</t>
    </r>
    <r>
      <rPr>
        <sz val="14"/>
        <color rgb="FF0066CC"/>
        <rFont val="Calibri"/>
      </rPr>
      <t>RHINO</t>
    </r>
    <r>
      <rPr>
        <sz val="14"/>
        <color rgb="FF000000"/>
        <rFont val="Calibri"/>
      </rPr>
      <t xml:space="preserve">  (NSN 4920-01-569-1181)</t>
    </r>
  </si>
  <si>
    <t xml:space="preserve">Loc: Teme </t>
  </si>
  <si>
    <t>TNT 202</t>
  </si>
  <si>
    <t>11720-3</t>
  </si>
  <si>
    <t>TNT 552</t>
  </si>
  <si>
    <t>42371603</t>
  </si>
  <si>
    <t>VACUUM CLEANER, Trailer, PNEUMATIC, FUEL (NSN 7910-01-198-3913)</t>
  </si>
  <si>
    <t>RTU 06-may-2026</t>
  </si>
  <si>
    <t>TNT 553</t>
  </si>
  <si>
    <t>42371602</t>
  </si>
  <si>
    <t>RTU 07-may-2026</t>
  </si>
  <si>
    <t>TNT 558</t>
  </si>
  <si>
    <t>10558-15</t>
  </si>
  <si>
    <t>JACK,HYDRAULIC,60 TON  NSN(1730-00-997-7130)  SLOC A13K</t>
  </si>
  <si>
    <t>RAM painted, returned to teme for assembly</t>
  </si>
  <si>
    <t>TNT 559</t>
  </si>
  <si>
    <t>10558-11</t>
  </si>
  <si>
    <t>TNT 561</t>
  </si>
  <si>
    <t>10558-13</t>
  </si>
  <si>
    <t>AMAT, Damaged brass collar, No ETA</t>
  </si>
  <si>
    <t>TNT 563</t>
  </si>
  <si>
    <t>10558-17</t>
  </si>
  <si>
    <t>TNT 841</t>
  </si>
  <si>
    <t>10802-53</t>
  </si>
  <si>
    <t>at teme post flight safety inspection</t>
  </si>
  <si>
    <t>TNT 842</t>
  </si>
  <si>
    <t>10802-52</t>
  </si>
  <si>
    <t>TNT 851</t>
  </si>
  <si>
    <t>10802-48</t>
  </si>
  <si>
    <t>Ready for pickup for BLR -June 2, 2026</t>
  </si>
  <si>
    <t>TNT 843</t>
  </si>
  <si>
    <t>11338-1</t>
  </si>
  <si>
    <t>TNT 888</t>
  </si>
  <si>
    <t>12399-1</t>
  </si>
  <si>
    <t>TNT 560</t>
  </si>
  <si>
    <t>10558-20</t>
  </si>
  <si>
    <t>TNT 562</t>
  </si>
  <si>
    <t>10558-12</t>
  </si>
  <si>
    <t>TNT 844</t>
  </si>
  <si>
    <t>11338-2</t>
  </si>
  <si>
    <t>TNT 850/845</t>
  </si>
  <si>
    <t>10802-47</t>
  </si>
  <si>
    <t>Gauge</t>
  </si>
  <si>
    <r>
      <t xml:space="preserve">21133307, </t>
    </r>
    <r>
      <rPr>
        <b/>
        <sz val="14"/>
        <color indexed="17"/>
        <rFont val="Calibri"/>
        <family val="2"/>
      </rPr>
      <t>TNT 559</t>
    </r>
  </si>
  <si>
    <t xml:space="preserve">GAUGE 0-10,000PSI NSN(6685-00-838-3041)  Gauge 0-5,000PSI NSN(5480-20-A0V-4906)  </t>
  </si>
  <si>
    <t xml:space="preserve"> Will be trasfered off of SLOC during calibration</t>
  </si>
  <si>
    <r>
      <t xml:space="preserve">21173424, </t>
    </r>
    <r>
      <rPr>
        <b/>
        <sz val="14"/>
        <color indexed="17"/>
        <rFont val="Calibri"/>
        <family val="2"/>
      </rPr>
      <t>TNT 561</t>
    </r>
  </si>
  <si>
    <r>
      <t>21173423,</t>
    </r>
    <r>
      <rPr>
        <b/>
        <sz val="14"/>
        <color indexed="17"/>
        <rFont val="Calibri"/>
        <family val="2"/>
      </rPr>
      <t>TNT 843</t>
    </r>
  </si>
  <si>
    <r>
      <t xml:space="preserve">21133597, </t>
    </r>
    <r>
      <rPr>
        <b/>
        <sz val="14"/>
        <color indexed="17"/>
        <rFont val="Calibri"/>
        <family val="2"/>
      </rPr>
      <t>TNT 842</t>
    </r>
  </si>
  <si>
    <r>
      <t xml:space="preserve">21133595, </t>
    </r>
    <r>
      <rPr>
        <b/>
        <sz val="14"/>
        <color indexed="17"/>
        <rFont val="Calibri"/>
        <family val="2"/>
      </rPr>
      <t>TNT 841</t>
    </r>
  </si>
  <si>
    <r>
      <t xml:space="preserve">21133775, </t>
    </r>
    <r>
      <rPr>
        <b/>
        <sz val="14"/>
        <color indexed="17"/>
        <rFont val="Calibri"/>
        <family val="2"/>
      </rPr>
      <t>TNT 851</t>
    </r>
  </si>
  <si>
    <r>
      <t xml:space="preserve">21133900, </t>
    </r>
    <r>
      <rPr>
        <b/>
        <sz val="14"/>
        <color indexed="17"/>
        <rFont val="Calibri"/>
        <family val="2"/>
      </rPr>
      <t>TNT 558</t>
    </r>
  </si>
  <si>
    <t>21133308</t>
  </si>
  <si>
    <t>21133592</t>
  </si>
  <si>
    <t>21133594</t>
  </si>
  <si>
    <t>21133593</t>
  </si>
  <si>
    <t>8 Will be trasfered off of SLOC during calibration</t>
  </si>
  <si>
    <t>Guage</t>
  </si>
  <si>
    <t>TNT 2002</t>
  </si>
  <si>
    <t>L-390S-2011</t>
  </si>
  <si>
    <t xml:space="preserve">GROUND POWER UNIT     (NSN 6115-20-005-8285) L-3                    </t>
  </si>
  <si>
    <t>Missing</t>
  </si>
  <si>
    <t>???</t>
  </si>
  <si>
    <t>WO GRENIER 819 939 4074</t>
  </si>
  <si>
    <t>TNT 021</t>
  </si>
  <si>
    <t>L-390S-2045</t>
  </si>
  <si>
    <t>GROUND POWER UNIT     (NSN 6115-20-005-8285) L-4</t>
  </si>
  <si>
    <t>10 Apr 26 :Power cart kicking off after short period of time</t>
  </si>
  <si>
    <t>TNT 023</t>
  </si>
  <si>
    <t>L-390S-2083</t>
  </si>
  <si>
    <t>GROUND POWER UNIT     (NSN 6115-20-005-8285) L-6</t>
  </si>
  <si>
    <t>**Sheduled inspection extended until May 28. This is the absolute deadline before its grounded**</t>
  </si>
  <si>
    <t>TNT 022</t>
  </si>
  <si>
    <t>L-390S-</t>
  </si>
  <si>
    <t>GROUND POWER UNIT     (NSN 6115-20-005-8285) L-7</t>
  </si>
  <si>
    <t>TNT 7003</t>
  </si>
  <si>
    <t>T22627</t>
  </si>
  <si>
    <t xml:space="preserve">  GROUND POWER UNIT (NSN 6115-01-565-9053 ) TLD</t>
  </si>
  <si>
    <t>TNT 7004</t>
  </si>
  <si>
    <t>T22630</t>
  </si>
  <si>
    <t>TNT 461</t>
  </si>
  <si>
    <t>SLAP77373</t>
  </si>
  <si>
    <t>LIFE RAFT R /I  CRANE (SLA15 GENIE LIFT CRANE)  (NSN 1730-01-535-2475/basket) NSN 1730-01-535-4312/Lift)</t>
  </si>
  <si>
    <t>TNT 624</t>
  </si>
  <si>
    <t>667690009</t>
  </si>
  <si>
    <t xml:space="preserve">TNT 626 </t>
  </si>
  <si>
    <t>0V0G3</t>
  </si>
  <si>
    <t>SPARE TIRE TRAILERS CART   (NSN 1740-01-507-3447)</t>
  </si>
  <si>
    <t>MILFORT</t>
  </si>
  <si>
    <t xml:space="preserve">TNT 825 </t>
  </si>
  <si>
    <t>0V0G3-44</t>
  </si>
  <si>
    <t>TNT 793</t>
  </si>
  <si>
    <t>G257</t>
  </si>
  <si>
    <t>PLATFORM, HIGH, SCISSOR STAND (7-12ft)   (NSN 1730-21-805-1525)</t>
  </si>
  <si>
    <t>TNT 863</t>
  </si>
  <si>
    <t>EA07</t>
  </si>
  <si>
    <t>15 Jul 25: Returne to unit, to be sent for repair after HSC for wheel repair</t>
  </si>
  <si>
    <t>TNT 864</t>
  </si>
  <si>
    <t>EA03</t>
  </si>
  <si>
    <t>TNT 823</t>
  </si>
  <si>
    <t>T22817</t>
  </si>
  <si>
    <t>GLESCO AIR CONDITIONING (NSN 4120-01-508-1404)</t>
  </si>
  <si>
    <t>moved to teme may 12</t>
  </si>
  <si>
    <t>TNT 894</t>
  </si>
  <si>
    <t>270055</t>
  </si>
  <si>
    <t>04 Mar 26 :Called in for pre summer inspection added preflight for MAY EX</t>
  </si>
  <si>
    <t>TNT 889</t>
  </si>
  <si>
    <t>270049</t>
  </si>
  <si>
    <t xml:space="preserve">Waiting on final inspections to confirm it's serviceability ( looking at a potential date of June 2026)         </t>
  </si>
  <si>
    <t>TNT 467</t>
  </si>
  <si>
    <t>080Q6-28</t>
  </si>
  <si>
    <r>
      <rPr>
        <sz val="14"/>
        <color rgb="FF000000"/>
        <rFont val="Calibri"/>
        <scheme val="minor"/>
      </rPr>
      <t>MLG SHOCK HOIST  (NSN</t>
    </r>
    <r>
      <rPr>
        <sz val="14"/>
        <color rgb="FF000000"/>
        <rFont val="Calibri"/>
      </rPr>
      <t xml:space="preserve"> 1730-01-503-4171)</t>
    </r>
  </si>
  <si>
    <t>TNT 838</t>
  </si>
  <si>
    <t>080Q6-11</t>
  </si>
  <si>
    <t>TNT 886</t>
  </si>
  <si>
    <t>5036</t>
  </si>
  <si>
    <t>NLG WHEEL WELL PLATFORM   (NSN 4920-01-604-3771)</t>
  </si>
  <si>
    <t>TNT 878</t>
  </si>
  <si>
    <t>5014</t>
  </si>
  <si>
    <t>TNT 884</t>
  </si>
  <si>
    <t>8-23-96-1</t>
  </si>
  <si>
    <t xml:space="preserve">BLAST CLEANING MACHINE   (NSN 4940-01-161-5903)   </t>
  </si>
  <si>
    <t>14-oct-25: Return to 1 hrg</t>
  </si>
  <si>
    <t>TNT 885</t>
  </si>
  <si>
    <t>A46864 (EMR 20523999)</t>
  </si>
  <si>
    <t>TNT 204</t>
  </si>
  <si>
    <t>TMGH0001-0017</t>
  </si>
  <si>
    <t>MLG INBD Door Removal Handling Fixture  (NSN 1730-01-520-4393)</t>
  </si>
  <si>
    <t xml:space="preserve">TEME advised of avaialblility for house call for annual inspection </t>
  </si>
  <si>
    <t>TNT 456</t>
  </si>
  <si>
    <t>TNT 876</t>
  </si>
  <si>
    <t>GER2112</t>
  </si>
  <si>
    <t>Fill &amp; Bleed R2D2  PUMP UNIT    (NSN 4920-20-002-7871)</t>
  </si>
  <si>
    <t>6 HGR POL</t>
  </si>
  <si>
    <t>Craig Saunders
819-939-4125</t>
  </si>
  <si>
    <t>TNT 877</t>
  </si>
  <si>
    <t>GE4767</t>
  </si>
  <si>
    <t>TNT 871</t>
  </si>
  <si>
    <t>L352015</t>
  </si>
  <si>
    <t>TNT 872</t>
  </si>
  <si>
    <t>L352014</t>
  </si>
  <si>
    <t>TNT 001</t>
  </si>
  <si>
    <t>STI4023</t>
  </si>
  <si>
    <t>TNT 020</t>
  </si>
  <si>
    <t>2179</t>
  </si>
  <si>
    <t>IDG Hand pump 20L   (NSN 4930-00-408-6115)</t>
  </si>
  <si>
    <t>TNT 220</t>
  </si>
  <si>
    <t>7281</t>
  </si>
  <si>
    <t>IDG Hand Pump 8L    (NSN 4930-01-408-6114)</t>
  </si>
  <si>
    <t>TNT 221</t>
  </si>
  <si>
    <t>7282</t>
  </si>
  <si>
    <t>TNT 222</t>
  </si>
  <si>
    <t>7288</t>
  </si>
  <si>
    <t>TNT 223</t>
  </si>
  <si>
    <t>7283</t>
  </si>
  <si>
    <t>TNT 486</t>
  </si>
  <si>
    <t>469493UBZE01</t>
  </si>
  <si>
    <t>Compressor Unit, Rotary (NSN 4310-01-577-3040)</t>
  </si>
  <si>
    <t>TNT 487</t>
  </si>
  <si>
    <t>469492UBZE01</t>
  </si>
  <si>
    <t xml:space="preserve">03 june 26 : @ TEME : brought back to TEME, they will attempt to fix it </t>
  </si>
  <si>
    <t>TNT 488</t>
  </si>
  <si>
    <t>469491UBZE01</t>
  </si>
  <si>
    <t>located in 7 hgr</t>
  </si>
  <si>
    <t>TNT 596</t>
  </si>
  <si>
    <t>50013</t>
  </si>
  <si>
    <t>OVER-WING MAINTENANCE PLATFORM  (4920-01-535-5997)</t>
  </si>
  <si>
    <t>TNT 435</t>
  </si>
  <si>
    <t>5003</t>
  </si>
  <si>
    <t>FIXTURE, AIRCRAFT MAINTENANCE SCISSOR LIFT  (NSN 1730-01-520-4396)</t>
  </si>
  <si>
    <t>TNT 891</t>
  </si>
  <si>
    <t>4SC75-0013</t>
  </si>
  <si>
    <t>HTS EXTERNAL FILTER KIT  (NSN 4920-01-553-0013)</t>
  </si>
  <si>
    <t>4920-01-553-1160</t>
  </si>
  <si>
    <t>not in CGCS</t>
  </si>
  <si>
    <t>TNT 892</t>
  </si>
  <si>
    <t>4SC75-0040</t>
  </si>
  <si>
    <t>6HGR</t>
  </si>
  <si>
    <t>TNT 025</t>
  </si>
  <si>
    <t>PORTABLE FLUID DISPENSER   NSN 4930-01-652-1200</t>
  </si>
  <si>
    <t>TNT 026</t>
  </si>
  <si>
    <t>PORTABLE FLUID DISPENSER  NSN 4930-01-652-1195</t>
  </si>
  <si>
    <t>TNT 027</t>
  </si>
  <si>
    <t>PORTABLE FLUID DISPENSER  NSN 4930-01-652-1198</t>
  </si>
  <si>
    <t>ju</t>
  </si>
  <si>
    <t>TNT 028</t>
  </si>
  <si>
    <t>PORTABLE FLUID DISPENSER  NSN 4930-01-652-1197</t>
  </si>
  <si>
    <t>TNT 890</t>
  </si>
  <si>
    <t>HYDRAULIC FLOW METER  (NSN 4920-01-600-1684)</t>
  </si>
  <si>
    <t xml:space="preserve">                           </t>
  </si>
  <si>
    <t>TNT 030</t>
  </si>
  <si>
    <t>64106-0011</t>
  </si>
  <si>
    <t>FUEL TEST STATION  (NSN 4920-01-433-5025)</t>
  </si>
  <si>
    <t>unit moved dec 2025 to W/R</t>
  </si>
  <si>
    <t>TNT 7007</t>
  </si>
  <si>
    <t>1K9Z0-21</t>
  </si>
  <si>
    <t>MLG LIFT TRAILER  (1730-01-465-9518)</t>
  </si>
  <si>
    <t>TB UPDATED / TEME will check more on this item</t>
  </si>
  <si>
    <t>`</t>
  </si>
  <si>
    <t>TNT 7008</t>
  </si>
  <si>
    <t>1K9Z0-4</t>
  </si>
  <si>
    <t>returned to unit lines 24-APR-2026</t>
  </si>
  <si>
    <t>TNT 7013</t>
  </si>
  <si>
    <t>184093-071699-100-003</t>
  </si>
  <si>
    <t xml:space="preserve">HYD JACKING UNIT (01-562-6243)                                                                       </t>
  </si>
  <si>
    <t xml:space="preserve">Gauge to be calibrated </t>
  </si>
  <si>
    <t>TNT 911</t>
  </si>
  <si>
    <t>184093-071699-100-001</t>
  </si>
  <si>
    <t>TNT 912</t>
  </si>
  <si>
    <t>184093-071699-100-002</t>
  </si>
  <si>
    <t>TNT 349</t>
  </si>
  <si>
    <t>190</t>
  </si>
  <si>
    <t>HYDRAULIC TEST STAND, DIESEL DRIVEN DUAL SYSTEM   (NSN 4920-01-279-4762), HYDRAULIC PUMPING UNIT</t>
  </si>
  <si>
    <t>TNT 7001</t>
  </si>
  <si>
    <t>163485-D002</t>
  </si>
  <si>
    <t>TEST STAND,HYDRAULIC PUMPING UNIT (01-592-0750)</t>
  </si>
  <si>
    <t>June-3-26, At TEME for inspection</t>
  </si>
  <si>
    <t>TNT 7000</t>
  </si>
  <si>
    <t>163485-D001</t>
  </si>
  <si>
    <t>1of2 systems U/S</t>
  </si>
  <si>
    <t>INFLATABLE ENGINE TENT</t>
  </si>
  <si>
    <t>ON AIRCRAFT PALLET WITH INFLATING FAN</t>
  </si>
  <si>
    <t>TNT 092</t>
  </si>
  <si>
    <t>3930-01-650-0072 Cart Caddy HD</t>
  </si>
  <si>
    <t>landscape trailer/fire extinguisher</t>
  </si>
  <si>
    <t>20-AOX-2149</t>
  </si>
  <si>
    <t xml:space="preserve"> RE  submitted inquriry on status of Insp due date</t>
  </si>
  <si>
    <t>20-AOX-2147</t>
  </si>
  <si>
    <t>Minimum AMSE list</t>
  </si>
  <si>
    <t>Below Min</t>
  </si>
  <si>
    <t>min</t>
  </si>
  <si>
    <t xml:space="preserve">Min +1 </t>
  </si>
  <si>
    <t>Current</t>
  </si>
  <si>
    <t>MOB 
&amp;
 Deployment</t>
  </si>
  <si>
    <t xml:space="preserve"> NITROGEN SERVICE CART   </t>
  </si>
  <si>
    <t xml:space="preserve">Involved in Collison, waiting on Parts no ETA 
 Received parts to resolve battery power drain, and glow plug , ran it with empty  compressor oil,  compressor to be rebuilt/replaced nothing in stock ETA UNKNOW
TNT 637 , caught Fire, internal damage,  waiting on parts
</t>
  </si>
  <si>
    <t xml:space="preserve">CONTINUOUS AIR START UNIT  </t>
  </si>
  <si>
    <t xml:space="preserve">TOW BAR   </t>
  </si>
  <si>
    <t xml:space="preserve">JACK, AIRCRAFT, NLG LANDING GEAR </t>
  </si>
  <si>
    <t xml:space="preserve">GROUND POWER UNIT  </t>
  </si>
  <si>
    <t xml:space="preserve">JACK,HYDRAULIC,60 TON </t>
  </si>
  <si>
    <t>JACKING CONSOLE</t>
  </si>
  <si>
    <t>FLOODLIGHT, TRAILER MOUNTED</t>
  </si>
  <si>
    <t>HEATER, DUCT TYPE, PORTABLE</t>
  </si>
  <si>
    <t>GLESCO AIR CONDITIONING</t>
  </si>
  <si>
    <t>x1 Dead Battery , x2 recalled for inspection</t>
  </si>
  <si>
    <t>Minimum Vehicle List</t>
  </si>
  <si>
    <t>Lox Truck</t>
  </si>
  <si>
    <t>Heavy Truck (Towing AMSE)  (H)</t>
  </si>
  <si>
    <t>the (H) designates a vehicle which has braking and gross weight for towing heavy amse</t>
  </si>
  <si>
    <t xml:space="preserve">ACS </t>
  </si>
  <si>
    <t xml:space="preserve">avs </t>
  </si>
  <si>
    <t>Tow Mule</t>
  </si>
  <si>
    <t>avn</t>
  </si>
  <si>
    <t>Boom lift</t>
  </si>
  <si>
    <t>Scissor lift Large</t>
  </si>
  <si>
    <t>Scissor lift small</t>
  </si>
  <si>
    <t>Yellow Trailer</t>
  </si>
  <si>
    <t>Forklift</t>
  </si>
  <si>
    <t>tire carts</t>
  </si>
  <si>
    <t>Total individual Items</t>
  </si>
  <si>
    <t xml:space="preserve">Total Itemized </t>
  </si>
  <si>
    <t>Total Serviceable Items</t>
  </si>
  <si>
    <t>Total Unavailable Items</t>
  </si>
  <si>
    <t>AMSE Serviceable %</t>
  </si>
  <si>
    <t xml:space="preserve">AMSE Min Serviceable % </t>
  </si>
  <si>
    <t>C/S</t>
  </si>
  <si>
    <t>TEM TAG</t>
  </si>
  <si>
    <t>U/S TAG</t>
  </si>
  <si>
    <t>Pylon</t>
  </si>
  <si>
    <t>Specification</t>
  </si>
  <si>
    <t>Type</t>
  </si>
  <si>
    <t>Manufacturer</t>
  </si>
  <si>
    <t>P/N</t>
  </si>
  <si>
    <t>NSN</t>
  </si>
  <si>
    <t>Mfg Serial No.</t>
  </si>
  <si>
    <t>EMR-DREMIS</t>
  </si>
  <si>
    <t>TEMMIS ##</t>
  </si>
  <si>
    <t>On Charge</t>
  </si>
  <si>
    <t>Cal. Date</t>
  </si>
  <si>
    <t>Cal. Due</t>
  </si>
  <si>
    <t>Remarks</t>
  </si>
  <si>
    <t>TEM TAG Check</t>
  </si>
  <si>
    <t>U/S Tag Check</t>
  </si>
  <si>
    <t>Pylon Check</t>
  </si>
  <si>
    <t>UPDATED</t>
  </si>
  <si>
    <t>TNT030</t>
  </si>
  <si>
    <t>Fuel Test station</t>
  </si>
  <si>
    <t>25-1009A02BXFF0-15</t>
  </si>
  <si>
    <t>6685-01-006-6038</t>
  </si>
  <si>
    <t>6685-20-A0U-5220</t>
  </si>
  <si>
    <t>6685-00-900-2655</t>
  </si>
  <si>
    <t>0 - 6000 PSI</t>
  </si>
  <si>
    <t>AMSE Hyd Stand</t>
  </si>
  <si>
    <t>83001-208</t>
  </si>
  <si>
    <t>6685-01-249-2445</t>
  </si>
  <si>
    <t>0 - 300 PSI</t>
  </si>
  <si>
    <t>83001-206</t>
  </si>
  <si>
    <t>4920-01-507-2834</t>
  </si>
  <si>
    <t>0 - 5000 PSI</t>
  </si>
  <si>
    <t>Fill &amp; Bleed</t>
  </si>
  <si>
    <t>Winters</t>
  </si>
  <si>
    <t>P3S6046B-45HC</t>
  </si>
  <si>
    <t>6685-20-009-3805</t>
  </si>
  <si>
    <t xml:space="preserve">                                                                         </t>
  </si>
  <si>
    <t>0 - 10000 PSI</t>
  </si>
  <si>
    <t>Tripod Jack</t>
  </si>
  <si>
    <t>Columbus JACK / Regent</t>
  </si>
  <si>
    <t>8261-25</t>
  </si>
  <si>
    <t>6685-00-838-3041</t>
  </si>
  <si>
    <t>new assembly : ident by a yellow tape</t>
  </si>
  <si>
    <t>5840-20-A0V-4906</t>
  </si>
  <si>
    <t>xtra on shelf</t>
  </si>
  <si>
    <t xml:space="preserve">11 Feb 26 : Sent to TEME for stress test </t>
  </si>
  <si>
    <t>0-10000 PSI</t>
  </si>
  <si>
    <t>Waiting on Gauge swap</t>
  </si>
  <si>
    <t>TNT 845/850</t>
  </si>
  <si>
    <t>Unsvc Tripod</t>
  </si>
  <si>
    <t>GUAGE/P-2-B</t>
  </si>
  <si>
    <t>0 - 10000 ton</t>
  </si>
  <si>
    <t>US</t>
  </si>
  <si>
    <t>(PUT HERE IF IT'S AT TC SO WE CAN TRACK WHAT'S GONNE)</t>
  </si>
  <si>
    <t>0 - 7500 PSI</t>
  </si>
  <si>
    <t>Nitrogen Cart</t>
  </si>
  <si>
    <t>Bauer Compressors</t>
  </si>
  <si>
    <t>GAG-0009W</t>
  </si>
  <si>
    <t>6685-01-514-9679</t>
  </si>
  <si>
    <t>0 - 600 PSI</t>
  </si>
  <si>
    <t>GAG-0007W</t>
  </si>
  <si>
    <t>6685-01-641-4100</t>
  </si>
  <si>
    <t>Extra on Shelf</t>
  </si>
  <si>
    <t>TNT 047</t>
  </si>
  <si>
    <t>PFQ184</t>
  </si>
  <si>
    <t>5210-20-A0V-5079</t>
  </si>
  <si>
    <t>Unit Deemed BLR</t>
  </si>
  <si>
    <t>Dynamic Fluid Component</t>
  </si>
  <si>
    <t>CDS-1P-040E</t>
  </si>
  <si>
    <t>6685-01-478-4241</t>
  </si>
  <si>
    <t>TNT 013</t>
  </si>
  <si>
    <t>Returned from Cal</t>
  </si>
  <si>
    <t>0 - 200 PSI</t>
  </si>
  <si>
    <t>Nitrogen Bottle Holder</t>
  </si>
  <si>
    <t>Wika Instruments Ltd.</t>
  </si>
  <si>
    <t>111.11.68.200</t>
  </si>
  <si>
    <t>6685-20-A0S-4157</t>
  </si>
  <si>
    <t>0 - 4000 PSI</t>
  </si>
  <si>
    <t>Ametek Inc.</t>
  </si>
  <si>
    <t>BU2581AQ</t>
  </si>
  <si>
    <t>6685-00-671-1143</t>
  </si>
  <si>
    <t>6685-00-171-8134</t>
  </si>
  <si>
    <t>0 - 30 inHg</t>
  </si>
  <si>
    <t>Jacking console</t>
  </si>
  <si>
    <t>Weskler</t>
  </si>
  <si>
    <t>AA04-2VC2-RW</t>
  </si>
  <si>
    <t>5110-20-A0V-4730</t>
  </si>
  <si>
    <t>Ashcroft</t>
  </si>
  <si>
    <t>45-1377SS-02B-0/5000</t>
  </si>
  <si>
    <t>6685-00-854-9140</t>
  </si>
  <si>
    <t>GG512T7</t>
  </si>
  <si>
    <t>6685-01-118-7117</t>
  </si>
  <si>
    <t>Email and sent to Pylon</t>
  </si>
  <si>
    <t>15-05-2026</t>
  </si>
  <si>
    <t>OTT8139</t>
  </si>
  <si>
    <t>6685-21-868-5808</t>
  </si>
  <si>
    <t>OTT8121</t>
  </si>
  <si>
    <t>6685-00-838-8809</t>
  </si>
  <si>
    <t>TNT 048</t>
  </si>
  <si>
    <r>
      <t xml:space="preserve">** Gauges to be sent of with MNG to 3rd line. From </t>
    </r>
    <r>
      <rPr>
        <b/>
        <sz val="10"/>
        <rFont val="Arial"/>
        <family val="2"/>
      </rPr>
      <t>8 Wing Customer Service</t>
    </r>
    <r>
      <rPr>
        <sz val="10"/>
        <rFont val="Arial"/>
      </rPr>
      <t xml:space="preserve">: Desginated as 'Out for cal SLoc thru.                 From </t>
    </r>
    <r>
      <rPr>
        <b/>
        <sz val="10"/>
        <color indexed="53"/>
        <rFont val="Arial"/>
        <family val="2"/>
      </rPr>
      <t>QETE (Central Data Manager)</t>
    </r>
    <r>
      <rPr>
        <sz val="10"/>
        <rFont val="Arial"/>
      </rPr>
      <t>: No other notifications will be generated.</t>
    </r>
  </si>
  <si>
    <t>Noshok Inc.</t>
  </si>
  <si>
    <t>25.110-6000PSI-1/4NPT-CFF</t>
  </si>
  <si>
    <t>6685-01-478-4239</t>
  </si>
  <si>
    <t>WORKSHEET / DRAFT / EXTRA (below)</t>
  </si>
  <si>
    <t>GAUGE</t>
  </si>
  <si>
    <t>0-7500</t>
  </si>
  <si>
    <t>NITROGEN CART</t>
  </si>
  <si>
    <t>BAUER COMPRESSORS</t>
  </si>
  <si>
    <t>30 Jan 24: Sent for CAL</t>
  </si>
  <si>
    <t>0-5000 PSI</t>
  </si>
  <si>
    <t>3655-01-641-4100</t>
  </si>
  <si>
    <t xml:space="preserve">WINTERS </t>
  </si>
  <si>
    <t>deemed us, off sloc</t>
  </si>
  <si>
    <t>0-5000</t>
  </si>
  <si>
    <t>WEKSLER</t>
  </si>
  <si>
    <t>needs to be returned to supply and taken off SLOC</t>
  </si>
  <si>
    <t>GUAGE/</t>
  </si>
  <si>
    <t>R2D2</t>
  </si>
  <si>
    <t>GAUGE PRESSURE</t>
  </si>
  <si>
    <t>MARSH Instrument Company</t>
  </si>
  <si>
    <t>H2082</t>
  </si>
  <si>
    <t>6685-21-913-0433</t>
  </si>
  <si>
    <t>21 Mar 24: new gauge received, need to check which amse needed for. Ordered because earlier one was broken for long time</t>
  </si>
  <si>
    <t>Unable to catalogue, unknown NSN, needs to be returned</t>
  </si>
  <si>
    <t>Hydraulic System Componetns Tester Stand  4920-01-617-1512</t>
  </si>
  <si>
    <t>Gauge U/S, needs to be returned</t>
  </si>
  <si>
    <t>power</t>
  </si>
  <si>
    <t>0-600 PSI</t>
  </si>
  <si>
    <t>sent for cal *** NOT WITHIN TOLERANCE ,CANNOT BE ADJUSTED, TO BE RETURNED TO SUPPLY</t>
  </si>
  <si>
    <t>Removed for CAL, sent to WTC/Pylon 8 May 24. WTC advises it was 'disposed off'. Will look into it further.</t>
  </si>
  <si>
    <t>0 - 5000 psi</t>
  </si>
  <si>
    <t>AMSE Hyd. Stand</t>
  </si>
  <si>
    <t>6685-00-802-8809</t>
  </si>
  <si>
    <t>Replenishing Cart</t>
  </si>
  <si>
    <t>open</t>
  </si>
  <si>
    <t>STANDS</t>
  </si>
  <si>
    <t>Callsign - TNT #</t>
  </si>
  <si>
    <t>Comments</t>
  </si>
  <si>
    <t>Updated</t>
  </si>
  <si>
    <t>0048</t>
  </si>
  <si>
    <t>MAINTENANCE, PLATFORM, AIRCRAFT (B2 STAND) (NSN 1730-00-390-6520)</t>
  </si>
  <si>
    <t>6 Hangar</t>
  </si>
  <si>
    <t>14 Aug 2025: Complete</t>
  </si>
  <si>
    <t>MAINTENANCE PLATFORM AIRCRAFT 3 - 10 FT (B1 STAND) (NSN 1730-00-390-5618)</t>
  </si>
  <si>
    <t>1 Hangar</t>
  </si>
  <si>
    <t>16 Jul 25: Missing railing on the sides</t>
  </si>
  <si>
    <t>MAINTENANCE PLATFORM AIRCRAFT ADJUSTABLE 3 - 7 FT TYPE B-4 (NSN 1730-00-294-8883)</t>
  </si>
  <si>
    <t>MAINTENANCE, PLATFORM, AIRCRAFT, ADJUSTABLE, B7-16 (NSN 1730-01-009-0446)</t>
  </si>
  <si>
    <t>05 nov 25: Leaking from Pump</t>
  </si>
  <si>
    <t>Richmond</t>
  </si>
  <si>
    <t>14 Aug 25: Missing front railing</t>
  </si>
  <si>
    <t>FIXTURE, AIRCRAFT MAINTENANCE SCISSOR LIFT (NSN 1730-01-520-4396)</t>
  </si>
  <si>
    <t>Biggest stand - Loc: North Ramp</t>
  </si>
  <si>
    <t>PLATFORM, HIGH, SCISSOR STAND (7-12ft) (NSN 1730-21-805-1575)</t>
  </si>
  <si>
    <r>
      <t xml:space="preserve">16 Jul 25: Got back from TEME despite putting in WO for wheel worn out and hydraulics leak. Hyraulics good but wheel still not fixed. </t>
    </r>
    <r>
      <rPr>
        <b/>
        <u/>
        <sz val="8"/>
        <rFont val="Arial"/>
        <family val="2"/>
      </rPr>
      <t>To be sent to TEME after HSC</t>
    </r>
  </si>
  <si>
    <t>MLG and NLG Tire Status</t>
  </si>
  <si>
    <t>To update 429 Sqn Supply, ASO tire trailer, ASO deployable trailer and deployables spares status and date of last update, click cells and use drop down menu.</t>
  </si>
  <si>
    <t>Hyperlink to AECMS and Tire Bay Stats</t>
  </si>
  <si>
    <t>file://N:\429 Sqn\8 AMS AECMS &amp; TIRE BAY STATS</t>
  </si>
  <si>
    <t>MLG</t>
  </si>
  <si>
    <t>NLG</t>
  </si>
  <si>
    <t>13         2</t>
  </si>
  <si>
    <t>Total Available, Last Updated</t>
  </si>
  <si>
    <t>Total:  Goal 12, Min 9</t>
  </si>
  <si>
    <t>Total:  Goal 8, Min 6</t>
  </si>
  <si>
    <t>429 Sqn Supply</t>
  </si>
  <si>
    <r>
      <t xml:space="preserve"> </t>
    </r>
    <r>
      <rPr>
        <b/>
        <sz val="10"/>
        <rFont val="Arial"/>
        <family val="2"/>
      </rPr>
      <t>ASO Tire Trailer (TNT 626)   DEPLOYED CYPRUS</t>
    </r>
  </si>
  <si>
    <t>9</t>
  </si>
  <si>
    <t>ASO Tire Trailer Last Updated</t>
  </si>
  <si>
    <t>Minimum 3 in Trailer at all times</t>
  </si>
  <si>
    <t>Minimum 2 in Trailer at all times</t>
  </si>
  <si>
    <t>ASO  Tire Trailer (TNT 825) (SPARE)</t>
  </si>
  <si>
    <t>ASO Deployable Trailer Last Updated</t>
  </si>
  <si>
    <t xml:space="preserve">1 HGR Tire Rack / Other Deployable Spares   </t>
  </si>
  <si>
    <t>2</t>
  </si>
  <si>
    <t>0</t>
  </si>
  <si>
    <t>Deployable Spares Last Updated</t>
  </si>
  <si>
    <t>Other Deployable Spares   BOXTOP</t>
  </si>
  <si>
    <t>NAME</t>
  </si>
  <si>
    <t>DATE DUE</t>
  </si>
  <si>
    <t xml:space="preserve">Total </t>
  </si>
  <si>
    <t>Note</t>
  </si>
  <si>
    <t>Note 2</t>
  </si>
  <si>
    <t>JL-011</t>
  </si>
  <si>
    <t>A/C Loaded Signs</t>
  </si>
  <si>
    <t>S</t>
  </si>
  <si>
    <t/>
  </si>
  <si>
    <t>JL-012</t>
  </si>
  <si>
    <t>JL-029</t>
  </si>
  <si>
    <t>Orange Cone, LOADED</t>
  </si>
  <si>
    <t>JL30</t>
  </si>
  <si>
    <t>U/S</t>
  </si>
  <si>
    <t>JL31</t>
  </si>
  <si>
    <t>DEPLOYED</t>
  </si>
  <si>
    <t>JL32</t>
  </si>
  <si>
    <t>PAST INSP DUE</t>
  </si>
  <si>
    <t>JL33</t>
  </si>
  <si>
    <t>JL34</t>
  </si>
  <si>
    <t>P-165</t>
  </si>
  <si>
    <t>Servicing Pouch, AVN</t>
  </si>
  <si>
    <t>TC-P 165</t>
  </si>
  <si>
    <t>P-303</t>
  </si>
  <si>
    <t>TC-P 303</t>
  </si>
  <si>
    <t>P-298</t>
  </si>
  <si>
    <t>Servicing Pouch, AVS</t>
  </si>
  <si>
    <t>TC-P 298</t>
  </si>
  <si>
    <t>P-300</t>
  </si>
  <si>
    <t>TC-P 300</t>
  </si>
  <si>
    <t>JL72</t>
  </si>
  <si>
    <t>Warning Sign (Hyd.&amp;FLT.Controls)</t>
  </si>
  <si>
    <t>JL73</t>
  </si>
  <si>
    <t>JL74</t>
  </si>
  <si>
    <t>JL75</t>
  </si>
  <si>
    <t>JL76</t>
  </si>
  <si>
    <t>JL77</t>
  </si>
  <si>
    <t>JL78</t>
  </si>
  <si>
    <t>JL79</t>
  </si>
  <si>
    <t>JL80</t>
  </si>
  <si>
    <t>JL81</t>
  </si>
  <si>
    <t>JL82</t>
  </si>
  <si>
    <t>JL83</t>
  </si>
  <si>
    <t>F 16</t>
  </si>
  <si>
    <t>Field Kit</t>
  </si>
  <si>
    <t>TC F16</t>
  </si>
  <si>
    <t>F113</t>
  </si>
  <si>
    <t>TC F113</t>
  </si>
  <si>
    <t>F171</t>
  </si>
  <si>
    <t>TC F171</t>
  </si>
  <si>
    <t>M415</t>
  </si>
  <si>
    <t>Flare Load Kit</t>
  </si>
  <si>
    <t>Torque Wrench Sent to Cal (19 Dec)</t>
  </si>
  <si>
    <t>TC M415</t>
  </si>
  <si>
    <t>M436</t>
  </si>
  <si>
    <t>Torque wrench Sent to Cal (19 Dec)</t>
  </si>
  <si>
    <t>TC M436</t>
  </si>
  <si>
    <t>M462</t>
  </si>
  <si>
    <t>TC M462</t>
  </si>
  <si>
    <t>M429</t>
  </si>
  <si>
    <t>Flying Crew Chief Kit</t>
  </si>
  <si>
    <t>1 Item sent to Cal</t>
  </si>
  <si>
    <t>TC M429</t>
  </si>
  <si>
    <t>M430</t>
  </si>
  <si>
    <t>TC M430</t>
  </si>
  <si>
    <t>M438</t>
  </si>
  <si>
    <t>TC M438</t>
  </si>
  <si>
    <t>M473</t>
  </si>
  <si>
    <t>Sent to Cal</t>
  </si>
  <si>
    <t>TC M473</t>
  </si>
  <si>
    <t>M475</t>
  </si>
  <si>
    <t>TC M475</t>
  </si>
  <si>
    <t>M477</t>
  </si>
  <si>
    <t>TC M477</t>
  </si>
  <si>
    <t>lan10</t>
  </si>
  <si>
    <t>6'  HSC</t>
  </si>
  <si>
    <t>3185173</t>
  </si>
  <si>
    <t>lan11</t>
  </si>
  <si>
    <t xml:space="preserve">6' </t>
  </si>
  <si>
    <t>124048</t>
  </si>
  <si>
    <t>lan12</t>
  </si>
  <si>
    <t>3185003</t>
  </si>
  <si>
    <t>LAN13</t>
  </si>
  <si>
    <t>6'</t>
  </si>
  <si>
    <t>3186351</t>
  </si>
  <si>
    <t>lan15</t>
  </si>
  <si>
    <t>3184999</t>
  </si>
  <si>
    <t>LAN16</t>
  </si>
  <si>
    <t>982000126660271</t>
  </si>
  <si>
    <t>lan2</t>
  </si>
  <si>
    <t>3184687</t>
  </si>
  <si>
    <t>LAN3</t>
  </si>
  <si>
    <t>3185181</t>
  </si>
  <si>
    <t>lan4</t>
  </si>
  <si>
    <t>3185004</t>
  </si>
  <si>
    <t>lan6</t>
  </si>
  <si>
    <t>3185182</t>
  </si>
  <si>
    <t>lan7</t>
  </si>
  <si>
    <t>3184998</t>
  </si>
  <si>
    <t>lan8</t>
  </si>
  <si>
    <t>3185174</t>
  </si>
  <si>
    <t>lan9</t>
  </si>
  <si>
    <t>124032</t>
  </si>
  <si>
    <t>Lan17</t>
  </si>
  <si>
    <t>982 000 158 928 463</t>
  </si>
  <si>
    <t>Lan18</t>
  </si>
  <si>
    <t>982 000 158 928 776</t>
  </si>
  <si>
    <t>Lan19</t>
  </si>
  <si>
    <t>982 000 158 928 810</t>
  </si>
  <si>
    <t>SPRO1</t>
  </si>
  <si>
    <t>Lower Anti-Collision Light Blanking Plate.</t>
  </si>
  <si>
    <t>Plate, Hardware and Bag.
CFB-C17-REDI-CYTR-10-0007.</t>
  </si>
  <si>
    <t>SPRO2</t>
  </si>
  <si>
    <t>SPRO3</t>
  </si>
  <si>
    <t>SPRO4</t>
  </si>
  <si>
    <t>LOX 1</t>
  </si>
  <si>
    <t>LOX Servicing Kit (7 Pieces)</t>
  </si>
  <si>
    <t>Ran-Pro (L), Gloves, Face Shield, Blanking Plug</t>
  </si>
  <si>
    <t>LOX 2</t>
  </si>
  <si>
    <t>LOX 3</t>
  </si>
  <si>
    <t>LOX 4</t>
  </si>
  <si>
    <t>har1</t>
  </si>
  <si>
    <t>SALA EXOFIT HARNESSES</t>
  </si>
  <si>
    <t>LG</t>
  </si>
  <si>
    <t>982 000 095 548 233</t>
  </si>
  <si>
    <t>HAR10</t>
  </si>
  <si>
    <t>XL</t>
  </si>
  <si>
    <t>982 000 095 651 518</t>
  </si>
  <si>
    <t>har11</t>
  </si>
  <si>
    <t>XL  HSC</t>
  </si>
  <si>
    <t>982 000 095 546 669</t>
  </si>
  <si>
    <t>har12</t>
  </si>
  <si>
    <t>982 000 095 656 124</t>
  </si>
  <si>
    <t>HAR16</t>
  </si>
  <si>
    <t>982 000 095 655 081</t>
  </si>
  <si>
    <t>HAR17</t>
  </si>
  <si>
    <t>982 000 095 654 929</t>
  </si>
  <si>
    <t>har2</t>
  </si>
  <si>
    <t xml:space="preserve">LG </t>
  </si>
  <si>
    <t>982 000 095 552 927</t>
  </si>
  <si>
    <t>har26</t>
  </si>
  <si>
    <t>MED HSC</t>
  </si>
  <si>
    <t>982 000 094 144 077</t>
  </si>
  <si>
    <t>har27</t>
  </si>
  <si>
    <t>982 000 094 119 236</t>
  </si>
  <si>
    <t>har29</t>
  </si>
  <si>
    <t>SM</t>
  </si>
  <si>
    <t>962 000 094 156 667</t>
  </si>
  <si>
    <t>har3</t>
  </si>
  <si>
    <t>LG  HSC</t>
  </si>
  <si>
    <t>982 000 095 552 727</t>
  </si>
  <si>
    <t>har31</t>
  </si>
  <si>
    <t xml:space="preserve">MED </t>
  </si>
  <si>
    <t>962 000 094 057 426</t>
  </si>
  <si>
    <t>HAR4</t>
  </si>
  <si>
    <t>982 000 094 156 629</t>
  </si>
  <si>
    <t>HAR5</t>
  </si>
  <si>
    <t>982 000 094 156 456</t>
  </si>
  <si>
    <t>har6</t>
  </si>
  <si>
    <t>982 000 095 553 111</t>
  </si>
  <si>
    <t>HAR7</t>
  </si>
  <si>
    <t>982 000 095 650 040</t>
  </si>
  <si>
    <t>har9</t>
  </si>
  <si>
    <t xml:space="preserve">XL </t>
  </si>
  <si>
    <t>982 000 095 552 897</t>
  </si>
  <si>
    <t>P-204</t>
  </si>
  <si>
    <t>SERVICING POUCH, BIRD NEST CHECK</t>
  </si>
  <si>
    <t>P-333</t>
  </si>
  <si>
    <t>SPRO5</t>
  </si>
  <si>
    <t>SPRO Prep/Installation Kit.</t>
  </si>
  <si>
    <t>Rubber Tape Part Number. 8641-36173.</t>
  </si>
  <si>
    <t>TC Consumable Kit 1</t>
  </si>
  <si>
    <t>TC Consumable Kit 2</t>
  </si>
  <si>
    <t>TC Consumable Kit 3</t>
  </si>
  <si>
    <t>TC Consumable Kit 4</t>
  </si>
  <si>
    <t>TR-24</t>
  </si>
  <si>
    <t>TOOL BOARD (TR-24)</t>
  </si>
  <si>
    <t>TR-90</t>
  </si>
  <si>
    <t>TOOL BOARD (TR-90)</t>
  </si>
  <si>
    <t>TNT 597</t>
  </si>
  <si>
    <t>Inlet Cushioning</t>
  </si>
  <si>
    <t>1730-01-309-5717</t>
  </si>
  <si>
    <t>9875200034</t>
  </si>
  <si>
    <t>TNT 598</t>
  </si>
  <si>
    <t>9875200035</t>
  </si>
  <si>
    <t>TNT 599</t>
  </si>
  <si>
    <t>9875200039</t>
  </si>
  <si>
    <t>TNT 600</t>
  </si>
  <si>
    <t>9875200040</t>
  </si>
  <si>
    <t>TNT 062</t>
  </si>
  <si>
    <t>Inflation Kit Assembly 0-400 PSI</t>
  </si>
  <si>
    <t>4920-01-253-1344</t>
  </si>
  <si>
    <t>tnt 403</t>
  </si>
  <si>
    <t>TNT 463</t>
  </si>
  <si>
    <t>22-0ct-13</t>
  </si>
  <si>
    <t>TNT 582</t>
  </si>
  <si>
    <t>Lox Tray</t>
  </si>
  <si>
    <t>4920-01-263-6264</t>
  </si>
  <si>
    <t>9875200024</t>
  </si>
  <si>
    <t>TNT 583</t>
  </si>
  <si>
    <t>9875200025</t>
  </si>
  <si>
    <t>TNT 436</t>
  </si>
  <si>
    <t>Kit, Tire Inflator Assy.</t>
  </si>
  <si>
    <t>4920-01-312-6009</t>
  </si>
  <si>
    <t>N/A</t>
  </si>
  <si>
    <t>TNT 437</t>
  </si>
  <si>
    <t>TNT 068</t>
  </si>
  <si>
    <t>ALM 288 Tester (Pelican Case)</t>
  </si>
  <si>
    <t>4920-01-423-4674</t>
  </si>
  <si>
    <t>1005561</t>
  </si>
  <si>
    <t>TNT 069</t>
  </si>
  <si>
    <t>1005566</t>
  </si>
  <si>
    <t>tnt 070</t>
  </si>
  <si>
    <t>U/S, waiting to be Sent for Repair (IN SUPPLY)</t>
  </si>
  <si>
    <t>1005569</t>
  </si>
  <si>
    <t>TNT 071</t>
  </si>
  <si>
    <t>1005558</t>
  </si>
  <si>
    <t>TNT 072</t>
  </si>
  <si>
    <t>1003957</t>
  </si>
  <si>
    <t>TNT 073</t>
  </si>
  <si>
    <t>1005498</t>
  </si>
  <si>
    <t>TNT 074</t>
  </si>
  <si>
    <t>1005487</t>
  </si>
  <si>
    <t>TNT 075</t>
  </si>
  <si>
    <t>1005547</t>
  </si>
  <si>
    <t>tnt 096a</t>
  </si>
  <si>
    <t>1005016</t>
  </si>
  <si>
    <t>tnt 096b</t>
  </si>
  <si>
    <t>1005015</t>
  </si>
  <si>
    <t>TNT 097A</t>
  </si>
  <si>
    <t>1105104</t>
  </si>
  <si>
    <t>TNT 097B</t>
  </si>
  <si>
    <t>1005066</t>
  </si>
  <si>
    <t>tnt 098a</t>
  </si>
  <si>
    <t>1005086</t>
  </si>
  <si>
    <t>TNT 098B</t>
  </si>
  <si>
    <t>1005088</t>
  </si>
  <si>
    <t>tnt 099a</t>
  </si>
  <si>
    <t>1005018</t>
  </si>
  <si>
    <t>tnt 099b</t>
  </si>
  <si>
    <t>1005017</t>
  </si>
  <si>
    <t>TNT 503</t>
  </si>
  <si>
    <t>Drain Fuel</t>
  </si>
  <si>
    <t>4930-01-308-0811</t>
  </si>
  <si>
    <t>9305</t>
  </si>
  <si>
    <t>TNT 504</t>
  </si>
  <si>
    <t>TNT 500</t>
  </si>
  <si>
    <t>Infrared Gun Viewer</t>
  </si>
  <si>
    <t>5855-01-540-5922</t>
  </si>
  <si>
    <t>TNT 500A</t>
  </si>
  <si>
    <t>TNT 500B</t>
  </si>
  <si>
    <t>TNT 500 C</t>
  </si>
  <si>
    <t>None</t>
  </si>
  <si>
    <t>M420-2</t>
  </si>
  <si>
    <t>Multimeter</t>
  </si>
  <si>
    <t>6625-01-365-7712</t>
  </si>
  <si>
    <t>92210042</t>
  </si>
  <si>
    <t>M426-2</t>
  </si>
  <si>
    <t>92210045</t>
  </si>
  <si>
    <t>m427-2</t>
  </si>
  <si>
    <t>92210041</t>
  </si>
  <si>
    <t>M429-2</t>
  </si>
  <si>
    <t>93470829</t>
  </si>
  <si>
    <t>m430-2</t>
  </si>
  <si>
    <t>93810063</t>
  </si>
  <si>
    <t>m445-2</t>
  </si>
  <si>
    <t>94530745</t>
  </si>
  <si>
    <t>m446-2</t>
  </si>
  <si>
    <t>94530690</t>
  </si>
  <si>
    <t>M473-2</t>
  </si>
  <si>
    <t>Tool kit deployed; e-mail sent</t>
  </si>
  <si>
    <t>93960133</t>
  </si>
  <si>
    <t>M475-2</t>
  </si>
  <si>
    <t>93960134</t>
  </si>
  <si>
    <t>M477-2</t>
  </si>
  <si>
    <t>93960132</t>
  </si>
  <si>
    <t>M482-2</t>
  </si>
  <si>
    <t>94530741</t>
  </si>
  <si>
    <t>M438-2</t>
  </si>
  <si>
    <t>93960131</t>
  </si>
  <si>
    <t>m464-2</t>
  </si>
  <si>
    <t>94530688</t>
  </si>
  <si>
    <t>M465-2</t>
  </si>
  <si>
    <t>94530743</t>
  </si>
  <si>
    <t>m476-2</t>
  </si>
  <si>
    <t>94530744</t>
  </si>
  <si>
    <t>m487-2</t>
  </si>
  <si>
    <t>94530742</t>
  </si>
  <si>
    <t>tnt 530</t>
  </si>
  <si>
    <t>Fluke Meter</t>
  </si>
  <si>
    <t>6625-21-901-0431</t>
  </si>
  <si>
    <t>Missing equipment report</t>
  </si>
  <si>
    <t>94790010</t>
  </si>
  <si>
    <t>tnt 530a</t>
  </si>
  <si>
    <t>98620059</t>
  </si>
  <si>
    <t>TNT 530B</t>
  </si>
  <si>
    <t>98560014</t>
  </si>
  <si>
    <t>TR-187A</t>
  </si>
  <si>
    <t>98560003</t>
  </si>
  <si>
    <t>tr-188a</t>
  </si>
  <si>
    <t>98560009</t>
  </si>
  <si>
    <t>tr-90i</t>
  </si>
  <si>
    <t>6625-219-01-0431</t>
  </si>
  <si>
    <t>94790009</t>
  </si>
  <si>
    <t>TR-137i</t>
  </si>
  <si>
    <t>0-165 psi Press Gauge</t>
  </si>
  <si>
    <t>Tool Kit out of circulation.  Will be modernized by CFTCC</t>
  </si>
  <si>
    <t>137-004</t>
  </si>
  <si>
    <t>TR-138G</t>
  </si>
  <si>
    <t>138-001</t>
  </si>
  <si>
    <t>TC P165</t>
  </si>
  <si>
    <t>TC P303</t>
  </si>
  <si>
    <t>tnt 461</t>
  </si>
  <si>
    <t>0-3000 PSI Press, Strut Gauge</t>
  </si>
  <si>
    <t>6685-00-248-6974</t>
  </si>
  <si>
    <t>2807</t>
  </si>
  <si>
    <t>jl012502</t>
  </si>
  <si>
    <t>TNT 462</t>
  </si>
  <si>
    <t>1023</t>
  </si>
  <si>
    <t>JL012501</t>
  </si>
  <si>
    <t>JL012515</t>
  </si>
  <si>
    <t>JL012516</t>
  </si>
  <si>
    <t>JL012517</t>
  </si>
  <si>
    <t>2781</t>
  </si>
  <si>
    <t>jl012518</t>
  </si>
  <si>
    <t>JL012519</t>
  </si>
  <si>
    <t>TNT 528</t>
  </si>
  <si>
    <t>0-400 PSI Press, Tire, Guage</t>
  </si>
  <si>
    <t>6685-00-816-4146</t>
  </si>
  <si>
    <t>170551261</t>
  </si>
  <si>
    <t>M430-1</t>
  </si>
  <si>
    <t>M446-1</t>
  </si>
  <si>
    <t xml:space="preserve"> Sent for Calibration (16 Dec)</t>
  </si>
  <si>
    <t>m465-1</t>
  </si>
  <si>
    <t>M477-1</t>
  </si>
  <si>
    <t>M482-1</t>
  </si>
  <si>
    <t>tnt 757</t>
  </si>
  <si>
    <t>TNT 758</t>
  </si>
  <si>
    <t>TNT 759</t>
  </si>
  <si>
    <t>Item to be transferred to TR777 (out of circulation at present time)</t>
  </si>
  <si>
    <t>170578116</t>
  </si>
  <si>
    <t>TNT 760</t>
  </si>
  <si>
    <t>170578124</t>
  </si>
  <si>
    <t>TNT 760A</t>
  </si>
  <si>
    <t>m426-1</t>
  </si>
  <si>
    <t>M427-1</t>
  </si>
  <si>
    <t>M429-1</t>
  </si>
  <si>
    <t>m467-1</t>
  </si>
  <si>
    <t>PR082</t>
  </si>
  <si>
    <t>m475-1</t>
  </si>
  <si>
    <t>m476-1</t>
  </si>
  <si>
    <t>HSC, date to be confirmed</t>
  </si>
  <si>
    <t>tnt 790</t>
  </si>
  <si>
    <t>Strut gauge</t>
  </si>
  <si>
    <t>6685-01-529-3128</t>
  </si>
  <si>
    <t>tnt 791</t>
  </si>
  <si>
    <t>tnt 792</t>
  </si>
  <si>
    <t>JL-053</t>
  </si>
  <si>
    <t>Bucket</t>
  </si>
  <si>
    <t>7240-21-536-0400</t>
  </si>
  <si>
    <t>JL012503</t>
  </si>
  <si>
    <t>JL012504</t>
  </si>
  <si>
    <t>JL012505</t>
  </si>
  <si>
    <t>JL012506</t>
  </si>
  <si>
    <t>JL012507</t>
  </si>
  <si>
    <t>JL012508</t>
  </si>
  <si>
    <t>JL01251</t>
  </si>
  <si>
    <t>JL01252</t>
  </si>
  <si>
    <t>JL-051</t>
  </si>
  <si>
    <t>JL-052</t>
  </si>
  <si>
    <t>JL-054</t>
  </si>
  <si>
    <t>Total Individual Items</t>
  </si>
  <si>
    <t>Tool/Test Equipment Serviceable %</t>
  </si>
  <si>
    <t xml:space="preserve">Tool/Test Equipment Min Serviceable % </t>
  </si>
  <si>
    <t>Types</t>
  </si>
  <si>
    <t>Bag #</t>
  </si>
  <si>
    <t>Serial Number</t>
  </si>
  <si>
    <t>EPOS/LIFE01</t>
  </si>
  <si>
    <t>15 Seats</t>
  </si>
  <si>
    <t>XX 4</t>
  </si>
  <si>
    <t>01</t>
  </si>
  <si>
    <t>EPOS/LIFE02</t>
  </si>
  <si>
    <t>02</t>
  </si>
  <si>
    <t>EPOS/LIFE03</t>
  </si>
  <si>
    <t>03</t>
  </si>
  <si>
    <t>EPOS/LIFE04</t>
  </si>
  <si>
    <t>04</t>
  </si>
  <si>
    <t>EPOS/LIFE05</t>
  </si>
  <si>
    <t>XX 3</t>
  </si>
  <si>
    <t>U/S Torn Apart</t>
  </si>
  <si>
    <t>05</t>
  </si>
  <si>
    <t>Partially built</t>
  </si>
  <si>
    <t>EPOS/LIFE06</t>
  </si>
  <si>
    <t>10 Seats</t>
  </si>
  <si>
    <t>06</t>
  </si>
  <si>
    <t>EPOS/LIFE07</t>
  </si>
  <si>
    <t xml:space="preserve">?? Seats </t>
  </si>
  <si>
    <t>07</t>
  </si>
  <si>
    <t>Left in Mirage (un-confirmed)</t>
  </si>
  <si>
    <t>EPOS/LIFE08</t>
  </si>
  <si>
    <t>08</t>
  </si>
  <si>
    <t>EPOS/LIFE09</t>
  </si>
  <si>
    <t>XX 2</t>
  </si>
  <si>
    <t>09</t>
  </si>
  <si>
    <t>EPOS/LIFE10</t>
  </si>
  <si>
    <t>10</t>
  </si>
  <si>
    <t>EPOS/LIFE11</t>
  </si>
  <si>
    <t>11</t>
  </si>
  <si>
    <t>EPOS/LIFE12</t>
  </si>
  <si>
    <t>12</t>
  </si>
  <si>
    <t>EPOS/LIFE13</t>
  </si>
  <si>
    <t>XX 1</t>
  </si>
  <si>
    <t>13</t>
  </si>
  <si>
    <t>EPOS/LIFE14</t>
  </si>
  <si>
    <t>14</t>
  </si>
  <si>
    <t>EPOS/LIFE15</t>
  </si>
  <si>
    <t>15</t>
  </si>
  <si>
    <t>EPOS retaining strap missing</t>
  </si>
  <si>
    <t>EPOS/LIFE16</t>
  </si>
  <si>
    <t>16</t>
  </si>
  <si>
    <t>EPOS/LIFE17</t>
  </si>
  <si>
    <t>WW 2</t>
  </si>
  <si>
    <t>17</t>
  </si>
  <si>
    <t>EPOS/LIFE18</t>
  </si>
  <si>
    <t>WW 3</t>
  </si>
  <si>
    <t>18</t>
  </si>
  <si>
    <t>EPOS/LIFE01-1</t>
  </si>
  <si>
    <t>EPOS</t>
  </si>
  <si>
    <t xml:space="preserve"> 1660-01-421-0084</t>
  </si>
  <si>
    <t>R0806501</t>
  </si>
  <si>
    <t>EPOS/LIFE01-10</t>
  </si>
  <si>
    <t>1660-01-421-0084</t>
  </si>
  <si>
    <t>R0806249</t>
  </si>
  <si>
    <t>EPOS/LIFE01-11</t>
  </si>
  <si>
    <t>R0805550</t>
  </si>
  <si>
    <t>EPOS/LIFE01-12</t>
  </si>
  <si>
    <t>R0805560</t>
  </si>
  <si>
    <t>EPOS/LIFE01-13</t>
  </si>
  <si>
    <t>R0804994</t>
  </si>
  <si>
    <t>EPOS/LIFE01-14</t>
  </si>
  <si>
    <t>R0806684</t>
  </si>
  <si>
    <t>EPOS/LIFE01-15</t>
  </si>
  <si>
    <t>R0806686</t>
  </si>
  <si>
    <t>EPOS/LIFE01-2</t>
  </si>
  <si>
    <t>R0806282</t>
  </si>
  <si>
    <t>EPOS/LIFE01-3</t>
  </si>
  <si>
    <t>R0806046</t>
  </si>
  <si>
    <t>EPOS/LIFE01-4</t>
  </si>
  <si>
    <t>R0806806</t>
  </si>
  <si>
    <t>EPOS/LIFE01-5</t>
  </si>
  <si>
    <t>R0806228</t>
  </si>
  <si>
    <t>EPOS/LIFE01-6</t>
  </si>
  <si>
    <t>R0805556</t>
  </si>
  <si>
    <t>EPOS/LIFE01-7</t>
  </si>
  <si>
    <t>R0803927</t>
  </si>
  <si>
    <t>EPOS/LIFE01-8</t>
  </si>
  <si>
    <t>R0806590</t>
  </si>
  <si>
    <t>EPOS/LIFE01-9</t>
  </si>
  <si>
    <t>R0806747</t>
  </si>
  <si>
    <t>EPOS/LIFE02-1</t>
  </si>
  <si>
    <t>R0601564</t>
  </si>
  <si>
    <t>EPOS/LIFE02-10</t>
  </si>
  <si>
    <t>R0601577</t>
  </si>
  <si>
    <t>EPOS/LIFE02-11</t>
  </si>
  <si>
    <t>R0806082</t>
  </si>
  <si>
    <t>EPOS/LIFE02-12</t>
  </si>
  <si>
    <t>R0601612</t>
  </si>
  <si>
    <t>EPOS/LIFE02-13</t>
  </si>
  <si>
    <t>R0704321</t>
  </si>
  <si>
    <t>EPOS/LIFE02-14</t>
  </si>
  <si>
    <t>R0601484</t>
  </si>
  <si>
    <t>EPOS/LIFE02-15</t>
  </si>
  <si>
    <t>R0704350</t>
  </si>
  <si>
    <t>EPOS/LIFE02-2</t>
  </si>
  <si>
    <t>R0507034</t>
  </si>
  <si>
    <t>EPOS/LIFE02-3</t>
  </si>
  <si>
    <t>R0801476</t>
  </si>
  <si>
    <t>EPOS/LIFE02-4</t>
  </si>
  <si>
    <t>R0601533</t>
  </si>
  <si>
    <t>EPOS/LIFE02-5</t>
  </si>
  <si>
    <t>R0806028</t>
  </si>
  <si>
    <t>EPOS/LIFE02-6</t>
  </si>
  <si>
    <t>R0704118</t>
  </si>
  <si>
    <t>EPOS/LIFE02-7</t>
  </si>
  <si>
    <t>R0601571</t>
  </si>
  <si>
    <t>EPOS/LIFE02-8</t>
  </si>
  <si>
    <t>R0601475</t>
  </si>
  <si>
    <t>EPOS/LIFE02-9</t>
  </si>
  <si>
    <t>R0804267</t>
  </si>
  <si>
    <t>EPOS/LIFE03-1</t>
  </si>
  <si>
    <t>R0804284</t>
  </si>
  <si>
    <t>EPOS/LIFE03-10</t>
  </si>
  <si>
    <t>R0711316</t>
  </si>
  <si>
    <t>EPOS/LIFE03-11</t>
  </si>
  <si>
    <t>R0102589</t>
  </si>
  <si>
    <t>EPOS/LIFE03-12</t>
  </si>
  <si>
    <t>R0704376</t>
  </si>
  <si>
    <t>EPOS/LIFE03-13</t>
  </si>
  <si>
    <t>R0507147</t>
  </si>
  <si>
    <t>EPOS/LIFE03-14</t>
  </si>
  <si>
    <t>R0601591</t>
  </si>
  <si>
    <t>EPOS/LIFE03-15</t>
  </si>
  <si>
    <t>R0704156</t>
  </si>
  <si>
    <t>EPOS/LIFE03-2</t>
  </si>
  <si>
    <t>R0806742</t>
  </si>
  <si>
    <t>EPOS/LIFE03-3</t>
  </si>
  <si>
    <t>R0805551</t>
  </si>
  <si>
    <t>EPOS/LIFE03-4</t>
  </si>
  <si>
    <t>R0806602</t>
  </si>
  <si>
    <t>EPOS/LIFE035</t>
  </si>
  <si>
    <t>R0102617</t>
  </si>
  <si>
    <t>EPOS/LIFE03-6</t>
  </si>
  <si>
    <t>R0601394</t>
  </si>
  <si>
    <t>EPOS/LIFE03-7</t>
  </si>
  <si>
    <t>R0601462</t>
  </si>
  <si>
    <t>EPOS/LIFE03-8</t>
  </si>
  <si>
    <t>R0601377</t>
  </si>
  <si>
    <t>EPOS/LIFE03-9</t>
  </si>
  <si>
    <t>R0601581</t>
  </si>
  <si>
    <t>EPOS/LIFE04-1</t>
  </si>
  <si>
    <t>R0601495</t>
  </si>
  <si>
    <t>EPOS/LIFE04-10</t>
  </si>
  <si>
    <t>R0807551</t>
  </si>
  <si>
    <t>EPOS/LIFE04-11</t>
  </si>
  <si>
    <t>R0806449</t>
  </si>
  <si>
    <t>EPOS/LIFE04-12</t>
  </si>
  <si>
    <t>R0806238</t>
  </si>
  <si>
    <t>EPOS/LIFE04-13</t>
  </si>
  <si>
    <t>R0807345</t>
  </si>
  <si>
    <t>EPOS/LIFE04-14</t>
  </si>
  <si>
    <t>R0807461</t>
  </si>
  <si>
    <t>EPOS/LIFE04-15</t>
  </si>
  <si>
    <t>R0806045</t>
  </si>
  <si>
    <t>EPOS/LIFE04-2</t>
  </si>
  <si>
    <t>R0601618</t>
  </si>
  <si>
    <t>EPOS/LIFE04-3</t>
  </si>
  <si>
    <t>R0805495</t>
  </si>
  <si>
    <t>EPOS/LIFE04-4</t>
  </si>
  <si>
    <t>R0601626</t>
  </si>
  <si>
    <t>EPOS/LIFE04-5</t>
  </si>
  <si>
    <t>R0806098</t>
  </si>
  <si>
    <t>EPOS/LIFE04-6</t>
  </si>
  <si>
    <t>R0806200</t>
  </si>
  <si>
    <t>EPOS/LIFE04-7</t>
  </si>
  <si>
    <t>R0805982</t>
  </si>
  <si>
    <t>EPOS/LIFE04-8</t>
  </si>
  <si>
    <t>R0806069</t>
  </si>
  <si>
    <t>EPOS/LIFE04-9</t>
  </si>
  <si>
    <t>R0601593</t>
  </si>
  <si>
    <t>EPOS/LIFE05-1</t>
  </si>
  <si>
    <t>R0704330</t>
  </si>
  <si>
    <t>EPOS/LIFE05-10</t>
  </si>
  <si>
    <t>R0704257</t>
  </si>
  <si>
    <t>EPOS/LIFE05-11</t>
  </si>
  <si>
    <t>R0507113</t>
  </si>
  <si>
    <t>EPOS/LIFE05-12</t>
  </si>
  <si>
    <t>R0704386</t>
  </si>
  <si>
    <t>EPOS/LIFE05-13</t>
  </si>
  <si>
    <t>R0704316</t>
  </si>
  <si>
    <t>EPOS/LIFE05-14</t>
  </si>
  <si>
    <t>R0601481</t>
  </si>
  <si>
    <t>EPOS/LIFE05-15</t>
  </si>
  <si>
    <t>R0302563</t>
  </si>
  <si>
    <t>EPOS/LIFE05-2</t>
  </si>
  <si>
    <t>R0806577</t>
  </si>
  <si>
    <t>EPOS/LIFE05-3</t>
  </si>
  <si>
    <t>R0704443</t>
  </si>
  <si>
    <t>EPOS/LIFE05-4</t>
  </si>
  <si>
    <t>R0704346</t>
  </si>
  <si>
    <t>EPOS/LIFE05-5</t>
  </si>
  <si>
    <t>R0704233</t>
  </si>
  <si>
    <t>EPOS/LIFE05-6</t>
  </si>
  <si>
    <t>R0803622</t>
  </si>
  <si>
    <t>EPOS/LIFE05-7</t>
  </si>
  <si>
    <t>R0704089</t>
  </si>
  <si>
    <t>EPOS/LIFE05-8</t>
  </si>
  <si>
    <t>R0806753</t>
  </si>
  <si>
    <t>EPOS/LIFE05-9</t>
  </si>
  <si>
    <t>R0704455</t>
  </si>
  <si>
    <t>EPOS/LIFE06-1</t>
  </si>
  <si>
    <t>R0805633</t>
  </si>
  <si>
    <t>EPOS/LIFE06-10</t>
  </si>
  <si>
    <t>R0806186</t>
  </si>
  <si>
    <t>EPOS/LIFE06-11</t>
  </si>
  <si>
    <t>R0805229</t>
  </si>
  <si>
    <t>EPOS/LIFE06-12</t>
  </si>
  <si>
    <t>R0806649</t>
  </si>
  <si>
    <t>EPOS/LIFE06-13</t>
  </si>
  <si>
    <t>R0711130</t>
  </si>
  <si>
    <t>EPOS/LIFE06-14</t>
  </si>
  <si>
    <t>R0805977</t>
  </si>
  <si>
    <t>EPOS/LIFE06-15</t>
  </si>
  <si>
    <t>R0805064</t>
  </si>
  <si>
    <t>EPOS/LIFE06-2</t>
  </si>
  <si>
    <t>R0806835</t>
  </si>
  <si>
    <t>EPOS/LIFE06-3</t>
  </si>
  <si>
    <t>R0711290</t>
  </si>
  <si>
    <t>EPOS/LIFE06-4</t>
  </si>
  <si>
    <t>R0711364</t>
  </si>
  <si>
    <t>EPOS/LIFE06-5</t>
  </si>
  <si>
    <t>R0806382</t>
  </si>
  <si>
    <t>EPOS/LIFE06-6</t>
  </si>
  <si>
    <t>R0806466</t>
  </si>
  <si>
    <t>EPOS/LIFE06-7</t>
  </si>
  <si>
    <t>R0806568</t>
  </si>
  <si>
    <t>EPOS/LIFE06-8</t>
  </si>
  <si>
    <t>R0806251</t>
  </si>
  <si>
    <t>EPOS/LIFE06-9</t>
  </si>
  <si>
    <t>R0805557</t>
  </si>
  <si>
    <t>EPOS/LIFE07-1</t>
  </si>
  <si>
    <t>R0806063</t>
  </si>
  <si>
    <t>EPOS/LIFE07-10</t>
  </si>
  <si>
    <t>R0805901</t>
  </si>
  <si>
    <t>EPOS/LIFE07-11</t>
  </si>
  <si>
    <t>R0805807</t>
  </si>
  <si>
    <t>EPOS/LIFE07-12</t>
  </si>
  <si>
    <t>R0806613</t>
  </si>
  <si>
    <t>EPOS/LIFE07-13</t>
  </si>
  <si>
    <t>R0806035</t>
  </si>
  <si>
    <t>EPOS/LIFE07-14</t>
  </si>
  <si>
    <t>R0806071</t>
  </si>
  <si>
    <t>EPOS/LIFE07-15</t>
  </si>
  <si>
    <t>R0507261</t>
  </si>
  <si>
    <t>EPOS/LIFE07-2</t>
  </si>
  <si>
    <t>R0806530</t>
  </si>
  <si>
    <t>EPOS/LIFE07-3</t>
  </si>
  <si>
    <t>R0804275</t>
  </si>
  <si>
    <t>EPOS/LIFE07-4</t>
  </si>
  <si>
    <t>R0806757</t>
  </si>
  <si>
    <t>EPOS/LIFE07-5</t>
  </si>
  <si>
    <t>R0806665</t>
  </si>
  <si>
    <t>EPOS/LIFE07-6</t>
  </si>
  <si>
    <t>R0806839</t>
  </si>
  <si>
    <t>EPOS/LIFE07-7</t>
  </si>
  <si>
    <t>R0806591</t>
  </si>
  <si>
    <t>EPOS/LIFE07-8</t>
  </si>
  <si>
    <t>R0806183</t>
  </si>
  <si>
    <t>EPOS/LIFE07-9</t>
  </si>
  <si>
    <t>R0806373</t>
  </si>
  <si>
    <t>EPOS/LIFE08-1</t>
  </si>
  <si>
    <t>R0711341</t>
  </si>
  <si>
    <t>EPOS/LIFE08-10</t>
  </si>
  <si>
    <t>R0806632</t>
  </si>
  <si>
    <t>EPOS/LIFE08-11</t>
  </si>
  <si>
    <t>R0806278</t>
  </si>
  <si>
    <t>EPOS/LIFE08-12</t>
  </si>
  <si>
    <t>R0601602</t>
  </si>
  <si>
    <t>EPOS/LIFE08-13</t>
  </si>
  <si>
    <t>R0601583</t>
  </si>
  <si>
    <t>EPOS/LIFE08-14</t>
  </si>
  <si>
    <t>R0601365</t>
  </si>
  <si>
    <t>EPOS/LIFE08-15</t>
  </si>
  <si>
    <t>R0806445</t>
  </si>
  <si>
    <t>EPOS/LIFE08-2</t>
  </si>
  <si>
    <t>R0806195</t>
  </si>
  <si>
    <t>EPOS/LIFE08-3</t>
  </si>
  <si>
    <t>R0806269</t>
  </si>
  <si>
    <t>EPOS/LIFE08-4</t>
  </si>
  <si>
    <t>R0805531</t>
  </si>
  <si>
    <t>EPOS/LIFE08-5</t>
  </si>
  <si>
    <t>R0711455</t>
  </si>
  <si>
    <t>EPOS/LIFE08-6</t>
  </si>
  <si>
    <t>R0711266</t>
  </si>
  <si>
    <t>EPOS/LIFE08-7</t>
  </si>
  <si>
    <t>R0806262</t>
  </si>
  <si>
    <t>EPOS/LIFE08-8</t>
  </si>
  <si>
    <t>R0806576</t>
  </si>
  <si>
    <t>EPOS/LIFE08-9</t>
  </si>
  <si>
    <t>R0601620</t>
  </si>
  <si>
    <t>EPOS/LIFE09-1</t>
  </si>
  <si>
    <t>R0506970</t>
  </si>
  <si>
    <t>EPOS/LIFE09-10</t>
  </si>
  <si>
    <t>R0322324</t>
  </si>
  <si>
    <t>EPOS/LIFE09-11</t>
  </si>
  <si>
    <t>R0601609</t>
  </si>
  <si>
    <t>EPOS/LIFE09-12</t>
  </si>
  <si>
    <t>R0601396</t>
  </si>
  <si>
    <t>EPOS/LIFE09-13</t>
  </si>
  <si>
    <t>R0601380</t>
  </si>
  <si>
    <t>EPOS/LIFE09-14</t>
  </si>
  <si>
    <t>R0601585</t>
  </si>
  <si>
    <t>EPOS/LIFE09-15</t>
  </si>
  <si>
    <t>R0601528</t>
  </si>
  <si>
    <t>EPOS/LIFE09-2</t>
  </si>
  <si>
    <t>R0507036</t>
  </si>
  <si>
    <t>EPOS/LIFE09-3</t>
  </si>
  <si>
    <t>R0601584</t>
  </si>
  <si>
    <t>EPOS/LIFE09-4</t>
  </si>
  <si>
    <t>R0601614</t>
  </si>
  <si>
    <t>EPOS/LIFE09-5</t>
  </si>
  <si>
    <t>R0507144</t>
  </si>
  <si>
    <t>EPOS/LIFE09-6</t>
  </si>
  <si>
    <t>R0601458</t>
  </si>
  <si>
    <t>EPOS/LIFE09-7</t>
  </si>
  <si>
    <t>R0507023</t>
  </si>
  <si>
    <t>EPOS/LIFE09-8</t>
  </si>
  <si>
    <t>R0710554</t>
  </si>
  <si>
    <t>EPOS/LIFE09-9</t>
  </si>
  <si>
    <t>R0507021</t>
  </si>
  <si>
    <t>EPOS/LIFE10-1</t>
  </si>
  <si>
    <t>R0711074</t>
  </si>
  <si>
    <t>EPOS/LIFE10-10</t>
  </si>
  <si>
    <t>R0807346</t>
  </si>
  <si>
    <t>EPOS/LIFE10-2</t>
  </si>
  <si>
    <t>R0805220</t>
  </si>
  <si>
    <t>EPOS/LIFE10-3</t>
  </si>
  <si>
    <t>R0601589</t>
  </si>
  <si>
    <t>EPOS/LIFE10-4</t>
  </si>
  <si>
    <t>R0806113</t>
  </si>
  <si>
    <t>EPOS/LIFE10-5</t>
  </si>
  <si>
    <t>R0806660</t>
  </si>
  <si>
    <t>EPOS/LIFE10-6</t>
  </si>
  <si>
    <t>R0806440</t>
  </si>
  <si>
    <t>EPOS/LIFE10-7</t>
  </si>
  <si>
    <t>R0806405</t>
  </si>
  <si>
    <t>EPOS/LIFE10-8</t>
  </si>
  <si>
    <t>R0807105</t>
  </si>
  <si>
    <t>EPOS/LIFE10-9</t>
  </si>
  <si>
    <t>R0711189</t>
  </si>
  <si>
    <t>EPOS/LIFE11-1</t>
  </si>
  <si>
    <t>R0805935</t>
  </si>
  <si>
    <t>EPOS/LIFE11-10</t>
  </si>
  <si>
    <t>R0806172</t>
  </si>
  <si>
    <t>EPOS/LIFE11-2</t>
  </si>
  <si>
    <t>R0806622</t>
  </si>
  <si>
    <t>EPOS/LIFE11-3</t>
  </si>
  <si>
    <t>R0806615</t>
  </si>
  <si>
    <t>EPOS/LIFE11-4</t>
  </si>
  <si>
    <t>R0805971</t>
  </si>
  <si>
    <t>EPOS/LIFE11-5</t>
  </si>
  <si>
    <t>R0805558</t>
  </si>
  <si>
    <t>EPOS/LIFE11-6</t>
  </si>
  <si>
    <t>R0711249</t>
  </si>
  <si>
    <t>EPOS/LIFE11-7</t>
  </si>
  <si>
    <t>R0805561</t>
  </si>
  <si>
    <t>EPOS/LIFE11-8</t>
  </si>
  <si>
    <t>R0804240</t>
  </si>
  <si>
    <t>EPOS/LIFE11-9</t>
  </si>
  <si>
    <t>R0806856</t>
  </si>
  <si>
    <t>EPOS/LIFE12-1</t>
  </si>
  <si>
    <t>R0806253</t>
  </si>
  <si>
    <t>EPOS/LIFE12-10</t>
  </si>
  <si>
    <t>R0805882</t>
  </si>
  <si>
    <t>EPOS/LIFE12-2</t>
  </si>
  <si>
    <t>R0806240</t>
  </si>
  <si>
    <t>EPOS/LIFE12-3</t>
  </si>
  <si>
    <t>R0805568</t>
  </si>
  <si>
    <t>EPOS/LIFE12-4</t>
  </si>
  <si>
    <t>R0806656</t>
  </si>
  <si>
    <t>EPOS/LIFE12-5</t>
  </si>
  <si>
    <t>R0805539</t>
  </si>
  <si>
    <t>EPOS/LIFE12-6</t>
  </si>
  <si>
    <t>R0805570</t>
  </si>
  <si>
    <t>EPOS/LIFE12-7</t>
  </si>
  <si>
    <t>R0805748</t>
  </si>
  <si>
    <t>EPOS/LIFE12-8</t>
  </si>
  <si>
    <t>R0805855</t>
  </si>
  <si>
    <t>EPOS/LIFE12-9</t>
  </si>
  <si>
    <t>R0711379</t>
  </si>
  <si>
    <t>EPOS/LIFE13-1</t>
  </si>
  <si>
    <t>R0806158</t>
  </si>
  <si>
    <t>EPOS/LIFE13-10</t>
  </si>
  <si>
    <t>R0806485</t>
  </si>
  <si>
    <t>EPOS/LIFE13-2</t>
  </si>
  <si>
    <t>R0805457</t>
  </si>
  <si>
    <t>EPOS/LIFE13-3</t>
  </si>
  <si>
    <t>R0805483</t>
  </si>
  <si>
    <t>EPOS/LIFE13-4</t>
  </si>
  <si>
    <t>R0806002</t>
  </si>
  <si>
    <t>EPOS/LIFE13-5</t>
  </si>
  <si>
    <t>R0804251</t>
  </si>
  <si>
    <t>EPOS/LIFE13-6</t>
  </si>
  <si>
    <t>R0806137</t>
  </si>
  <si>
    <t>EPOS/LIFE13-7</t>
  </si>
  <si>
    <t>R0805434</t>
  </si>
  <si>
    <t>EPOS/LIFE13-8</t>
  </si>
  <si>
    <t>R0803626</t>
  </si>
  <si>
    <t>EPOS/LIFE13-9</t>
  </si>
  <si>
    <t>R0806144</t>
  </si>
  <si>
    <t>EPOS/LIFE14-1</t>
  </si>
  <si>
    <t>R0805437</t>
  </si>
  <si>
    <t>EPOS/LIFE14-10</t>
  </si>
  <si>
    <t>R0805438</t>
  </si>
  <si>
    <t>EPOS/LIFE14-2</t>
  </si>
  <si>
    <t>R0806549</t>
  </si>
  <si>
    <t>EPOS/LIFE14-3</t>
  </si>
  <si>
    <t>R0806196</t>
  </si>
  <si>
    <t>EPOS/LIFE14-4</t>
  </si>
  <si>
    <t>R0805532</t>
  </si>
  <si>
    <t>EPOS/LIFE14-5</t>
  </si>
  <si>
    <t>R0805489</t>
  </si>
  <si>
    <t>EPOS/LIFE14-6</t>
  </si>
  <si>
    <t>R0804252</t>
  </si>
  <si>
    <t>EPOS/LIFE14-7</t>
  </si>
  <si>
    <t>R0805141</t>
  </si>
  <si>
    <t>EPOS/LIFE14-8</t>
  </si>
  <si>
    <t>R0806213</t>
  </si>
  <si>
    <t>EPOS/LIFE14-9</t>
  </si>
  <si>
    <t>R0805422</t>
  </si>
  <si>
    <t>EPOS/LIFE15-1</t>
  </si>
  <si>
    <t>R0711236</t>
  </si>
  <si>
    <t>EPOS/LIFE15-10</t>
  </si>
  <si>
    <t>R0806592</t>
  </si>
  <si>
    <t>EPOS/LIFE15-2</t>
  </si>
  <si>
    <t>R0806579</t>
  </si>
  <si>
    <t>EPOS/LIFE15-3</t>
  </si>
  <si>
    <t>R0806654</t>
  </si>
  <si>
    <t>EPOS/LIFE15-4</t>
  </si>
  <si>
    <t>R0806594</t>
  </si>
  <si>
    <t>EPOS/LIFE15-5</t>
  </si>
  <si>
    <t>R0806609</t>
  </si>
  <si>
    <t>EPOS/LIFE15-6</t>
  </si>
  <si>
    <t>R0805452</t>
  </si>
  <si>
    <t>EPOS/LIFE15-7</t>
  </si>
  <si>
    <t>R0804204</t>
  </si>
  <si>
    <t>EPOS/LIFE15-8</t>
  </si>
  <si>
    <t>R0805468</t>
  </si>
  <si>
    <t>EPOS/LIFE15-9</t>
  </si>
  <si>
    <t>R0805747</t>
  </si>
  <si>
    <t>EPOS/LIFE16-1</t>
  </si>
  <si>
    <t>EPOS/LIFE16-10</t>
  </si>
  <si>
    <t>EPOS/LIFE16-2</t>
  </si>
  <si>
    <t>EPOS/LIFE16-3</t>
  </si>
  <si>
    <t>EPOS/LIFE16-4</t>
  </si>
  <si>
    <t>EPOS/LIFE16-5</t>
  </si>
  <si>
    <t>EPOS/LIFE16-6</t>
  </si>
  <si>
    <t>EPOS/LIFE16-7</t>
  </si>
  <si>
    <t>EPOS/LIFE16-8</t>
  </si>
  <si>
    <t>EPOS/LIFE16-9</t>
  </si>
  <si>
    <t>EPOS/LIFE17-1</t>
  </si>
  <si>
    <t>EPOS/LIFE17-10</t>
  </si>
  <si>
    <t>EPOS/LIFE17-2</t>
  </si>
  <si>
    <t>EPOS/LIFE17-3</t>
  </si>
  <si>
    <t>EPOS/LIFE17-4</t>
  </si>
  <si>
    <t>EPOS/LIFE17-5</t>
  </si>
  <si>
    <t>EPOS/LIFE17-6</t>
  </si>
  <si>
    <t>EPOS/LIFE17-7</t>
  </si>
  <si>
    <t>EPOS/LIFE17-8</t>
  </si>
  <si>
    <t>EPOS/LIFE17-9</t>
  </si>
  <si>
    <t>EPOS/LIFE18-1</t>
  </si>
  <si>
    <t>EPOS/LIFE18-10</t>
  </si>
  <si>
    <t>EPOS/LIFE18-2</t>
  </si>
  <si>
    <t>EPOS/LIFE18-3</t>
  </si>
  <si>
    <t>EPOS/LIFE18-4</t>
  </si>
  <si>
    <t>EPOS/LIFE18-5</t>
  </si>
  <si>
    <t>EPOS/LIFE18-6</t>
  </si>
  <si>
    <t>EPOS/LIFE18-7</t>
  </si>
  <si>
    <t>EPOS/LIFE18-8</t>
  </si>
  <si>
    <t>EPOS/LIFE18-9</t>
  </si>
  <si>
    <t>EPOS/LIFE01-16</t>
  </si>
  <si>
    <t>LIFE PRESERVER</t>
  </si>
  <si>
    <t>4220-01-113-8665</t>
  </si>
  <si>
    <t>8-07-8888</t>
  </si>
  <si>
    <t>EPOS/LIFE01-17</t>
  </si>
  <si>
    <t>8-07-8965</t>
  </si>
  <si>
    <t>EPOS/LIFE01-18</t>
  </si>
  <si>
    <t>8-07-9799</t>
  </si>
  <si>
    <t>EPOS/LIFE01-19</t>
  </si>
  <si>
    <t>8-07-9791</t>
  </si>
  <si>
    <t>EPOS/LIFE01-20</t>
  </si>
  <si>
    <t>8-07-8966</t>
  </si>
  <si>
    <t>EPOS/LIFE01-21</t>
  </si>
  <si>
    <t>8-07-8950</t>
  </si>
  <si>
    <t>EPOS/LIFE01-22</t>
  </si>
  <si>
    <t>8-07-9817</t>
  </si>
  <si>
    <t>EPOS/LIFE01-23</t>
  </si>
  <si>
    <t>8-07-9079</t>
  </si>
  <si>
    <t>EPOS/LIFE01-24</t>
  </si>
  <si>
    <t>8-07-9804</t>
  </si>
  <si>
    <t>EPOS/LIFE01-25</t>
  </si>
  <si>
    <t>8-07-9101</t>
  </si>
  <si>
    <t>EPOS/LIFE01-26</t>
  </si>
  <si>
    <t>8-07-9814</t>
  </si>
  <si>
    <t>EPOS/LIFE01-27</t>
  </si>
  <si>
    <t>8-07-9796</t>
  </si>
  <si>
    <t>EPOS/LIFE01-28</t>
  </si>
  <si>
    <t>8-07-8905</t>
  </si>
  <si>
    <t>EPOS/LIFE01-29</t>
  </si>
  <si>
    <t>8-07-9794</t>
  </si>
  <si>
    <t>EPOS/LIFE01-30</t>
  </si>
  <si>
    <t>4-08-1993</t>
  </si>
  <si>
    <t>EPOS/LIFE02-16</t>
  </si>
  <si>
    <t>8-07-9808</t>
  </si>
  <si>
    <t>EPOS/LIFE02-17</t>
  </si>
  <si>
    <t>8-07-9805</t>
  </si>
  <si>
    <t>EPOS/LIFE02-18</t>
  </si>
  <si>
    <t>8-07-9090</t>
  </si>
  <si>
    <t>EPOS/LIFE02-19</t>
  </si>
  <si>
    <t>8-07-9816</t>
  </si>
  <si>
    <t>EPOS/LIFE02-20</t>
  </si>
  <si>
    <t>8-07-8981</t>
  </si>
  <si>
    <t>EPOS/LIFE02-21</t>
  </si>
  <si>
    <t>8-07-8952</t>
  </si>
  <si>
    <t>EPOS/LIFE02-22</t>
  </si>
  <si>
    <t>8-07-9180</t>
  </si>
  <si>
    <t>EPOS/LIFE02-23</t>
  </si>
  <si>
    <t>8-07-9122</t>
  </si>
  <si>
    <t>EPOS/LIFE02-24</t>
  </si>
  <si>
    <t>8-07-9091</t>
  </si>
  <si>
    <t>EPOS/LIFE02-25</t>
  </si>
  <si>
    <t>8-07-8936</t>
  </si>
  <si>
    <t>EPOS/LIFE02-26</t>
  </si>
  <si>
    <t>8-07-9105</t>
  </si>
  <si>
    <t>EPOS/LIFE02-27</t>
  </si>
  <si>
    <t>8-07-9810</t>
  </si>
  <si>
    <t>EPOS/LIFE02-28</t>
  </si>
  <si>
    <t>8-07-8963</t>
  </si>
  <si>
    <t>EPOS/LIFE02-29</t>
  </si>
  <si>
    <t>6-07-7790</t>
  </si>
  <si>
    <t>EPOS/LIFE02-30</t>
  </si>
  <si>
    <t>8-08-9806</t>
  </si>
  <si>
    <t>EPOS/LIFE03-16</t>
  </si>
  <si>
    <t>8-07-8971</t>
  </si>
  <si>
    <t>EPOS/LIFE03-17</t>
  </si>
  <si>
    <t>8-07-9113</t>
  </si>
  <si>
    <t>EPOS/LIFE03-18</t>
  </si>
  <si>
    <t>8-07-9800</t>
  </si>
  <si>
    <t>EPOS/LIFE03-19</t>
  </si>
  <si>
    <t>8-07-9093</t>
  </si>
  <si>
    <t>EPOS/LIFE03-20</t>
  </si>
  <si>
    <t>8-07-8940</t>
  </si>
  <si>
    <t>EPOS/LIFE03-21</t>
  </si>
  <si>
    <t>8-07-9802</t>
  </si>
  <si>
    <t>EPOS/LIFE03-22</t>
  </si>
  <si>
    <t>8-07-8959</t>
  </si>
  <si>
    <t>EPOS/LIFE03-23</t>
  </si>
  <si>
    <t>8-07-9123</t>
  </si>
  <si>
    <t>EPOS/LIFE03-24</t>
  </si>
  <si>
    <t>8-07-8964</t>
  </si>
  <si>
    <t>EPOS/LIFE03-25</t>
  </si>
  <si>
    <t>8-07-9121</t>
  </si>
  <si>
    <t>EPOS/LIFE03-26</t>
  </si>
  <si>
    <t>8-07-9789</t>
  </si>
  <si>
    <t>EPOS/LIFE03-27</t>
  </si>
  <si>
    <t>8-07-8897</t>
  </si>
  <si>
    <t>EPOS/LIFE03-28</t>
  </si>
  <si>
    <t>8-07-8939</t>
  </si>
  <si>
    <t>EPOS/LIFE03-29</t>
  </si>
  <si>
    <t>8-07-8910</t>
  </si>
  <si>
    <t>EPOS/LIFE03-30</t>
  </si>
  <si>
    <t>8-07-9160</t>
  </si>
  <si>
    <t>EPOS/LIFE04-16</t>
  </si>
  <si>
    <t>4-08-1810</t>
  </si>
  <si>
    <t>EPOS/LIFE04-17</t>
  </si>
  <si>
    <t>6-07-7313</t>
  </si>
  <si>
    <t>EPOS/LIFE04-18</t>
  </si>
  <si>
    <t>8-07-8982</t>
  </si>
  <si>
    <t>EPOS/LIFE04-19</t>
  </si>
  <si>
    <t>8-07-8951</t>
  </si>
  <si>
    <t>EPOS/LIFE04-20</t>
  </si>
  <si>
    <t>8-07-9795</t>
  </si>
  <si>
    <t>EPOS/LIFE04-21</t>
  </si>
  <si>
    <t>8-07-9104</t>
  </si>
  <si>
    <t>EPOS/LIFE04-22</t>
  </si>
  <si>
    <t>4-08-1861</t>
  </si>
  <si>
    <t>EPOS/LIFE04-23</t>
  </si>
  <si>
    <t>8-07-8885</t>
  </si>
  <si>
    <t>EPOS/LIFE04-24</t>
  </si>
  <si>
    <t>8-07-9807</t>
  </si>
  <si>
    <t>EPOS/LIFE04-25</t>
  </si>
  <si>
    <t>8-07-9809</t>
  </si>
  <si>
    <t>EPOS/LIFE04-26</t>
  </si>
  <si>
    <t>8-07-9820</t>
  </si>
  <si>
    <t>EPOS/LIFE04-27</t>
  </si>
  <si>
    <t>8-07-9111</t>
  </si>
  <si>
    <t>EPOS/LIFE04-28</t>
  </si>
  <si>
    <t>8-07-9803</t>
  </si>
  <si>
    <t>EPOS/LIFE04-29</t>
  </si>
  <si>
    <t>8-07-8886</t>
  </si>
  <si>
    <t>EPOS/LIFE04-30</t>
  </si>
  <si>
    <t>8-07-9162</t>
  </si>
  <si>
    <t>EPOS/LIFE05-16</t>
  </si>
  <si>
    <t>8-07-9798</t>
  </si>
  <si>
    <t>EPOS/LIFE05-17</t>
  </si>
  <si>
    <t>8-07-9094</t>
  </si>
  <si>
    <t>EPOS/LIFE05-18</t>
  </si>
  <si>
    <t>8-07-8881</t>
  </si>
  <si>
    <t>EPOS/LIFE05-19</t>
  </si>
  <si>
    <t>8-07-9823</t>
  </si>
  <si>
    <t>EPOS/LIFE05-20</t>
  </si>
  <si>
    <t>8-07-8979</t>
  </si>
  <si>
    <t>EPOS/LIFE05-21</t>
  </si>
  <si>
    <t>4-08-1826</t>
  </si>
  <si>
    <t>EPOS/LIFE05-22</t>
  </si>
  <si>
    <t>8-07-9166</t>
  </si>
  <si>
    <t>EPOS/LIFE05-23</t>
  </si>
  <si>
    <t>4-08-1820</t>
  </si>
  <si>
    <t>EPOS/LIFE05-24</t>
  </si>
  <si>
    <t>8-07-9815</t>
  </si>
  <si>
    <t>EPOS/LIFE05-25</t>
  </si>
  <si>
    <t>8-07-9819</t>
  </si>
  <si>
    <t>EPOS/LIFE05-26</t>
  </si>
  <si>
    <t>8-07-8913</t>
  </si>
  <si>
    <t>EPOS/LIFE05-27</t>
  </si>
  <si>
    <t>8-07-8941</t>
  </si>
  <si>
    <t>EPOS/LIFE05-28</t>
  </si>
  <si>
    <t>8-07-9790</t>
  </si>
  <si>
    <t>EPOS/LIFE05-29</t>
  </si>
  <si>
    <t>8-07-8945</t>
  </si>
  <si>
    <t>EPOS/LIFE05-30</t>
  </si>
  <si>
    <t>8-07-8931</t>
  </si>
  <si>
    <t>EPOS/LIFE06-16</t>
  </si>
  <si>
    <t>8-07-8980</t>
  </si>
  <si>
    <t>EPOS/LIFE06-17</t>
  </si>
  <si>
    <t>8-07-9109</t>
  </si>
  <si>
    <t>EPOS/LIFE06-18</t>
  </si>
  <si>
    <t>8-07-9102</t>
  </si>
  <si>
    <t>EPOS/LIFE06-19</t>
  </si>
  <si>
    <t>8-07-8956</t>
  </si>
  <si>
    <t>EPOS/LIFE06-20</t>
  </si>
  <si>
    <t>8-07-9793</t>
  </si>
  <si>
    <t>EPOS/LIFE06-21</t>
  </si>
  <si>
    <t>4-08-1601</t>
  </si>
  <si>
    <t>EPOS/LIFE06-22</t>
  </si>
  <si>
    <t>8-07-9801</t>
  </si>
  <si>
    <t>EPOS/LIFE06-23</t>
  </si>
  <si>
    <t>8-07-9107</t>
  </si>
  <si>
    <t>EPOS/LIFE06-24</t>
  </si>
  <si>
    <t>6-07-7775</t>
  </si>
  <si>
    <t>EPOS/LIFE06-25</t>
  </si>
  <si>
    <t>8-07-8977</t>
  </si>
  <si>
    <t>EPOS/LIFE06-26</t>
  </si>
  <si>
    <t>8-07-9818</t>
  </si>
  <si>
    <t>EPOS/LIFE06-27</t>
  </si>
  <si>
    <t>8-07-9182</t>
  </si>
  <si>
    <t>EPOS/LIFE06-28</t>
  </si>
  <si>
    <t>8-07-9812</t>
  </si>
  <si>
    <t>EPOS/LIFE06-29</t>
  </si>
  <si>
    <t>8-07-9095</t>
  </si>
  <si>
    <t>EPOS/LIFE06-30</t>
  </si>
  <si>
    <t>8-07-8970</t>
  </si>
  <si>
    <t>EPOS/LIFE07-16</t>
  </si>
  <si>
    <t>EPOS/LIFE07-17</t>
  </si>
  <si>
    <t>EPOS/LIFE07-18</t>
  </si>
  <si>
    <t>EPOS/LIFE07-19</t>
  </si>
  <si>
    <t>EPOS/LIFE07-20</t>
  </si>
  <si>
    <t>EPOS/LIFE07-21</t>
  </si>
  <si>
    <t>EPOS/LIFE07-22</t>
  </si>
  <si>
    <t>EPOS/LIFE07-23</t>
  </si>
  <si>
    <t>EPOS/LIFE07-24</t>
  </si>
  <si>
    <t>EPOS/LIFE07-25</t>
  </si>
  <si>
    <t>EPOS/LIFE07-26</t>
  </si>
  <si>
    <t>EPOS/LIFE07-27</t>
  </si>
  <si>
    <t>EPOS/LIFE07-28</t>
  </si>
  <si>
    <t>EPOS/LIFE07-29</t>
  </si>
  <si>
    <t>EPOS/LIFE07-30</t>
  </si>
  <si>
    <t>EPOS/LIFE08-16</t>
  </si>
  <si>
    <t>6-07-7291</t>
  </si>
  <si>
    <t>EPOS/LIFE08-17</t>
  </si>
  <si>
    <t>6-07-7310</t>
  </si>
  <si>
    <t>EPOS/LIFE08-18</t>
  </si>
  <si>
    <t>6-07-7714</t>
  </si>
  <si>
    <t>EPOS/LIFE08-19</t>
  </si>
  <si>
    <t>6-07-7806</t>
  </si>
  <si>
    <t>EPOS/LIFE08-20</t>
  </si>
  <si>
    <t>6-07-7292</t>
  </si>
  <si>
    <t>EPOS/LIFE08-21</t>
  </si>
  <si>
    <t>6-07-7303</t>
  </si>
  <si>
    <t>EPOS/LIFE08-22</t>
  </si>
  <si>
    <t>6-07-7293</t>
  </si>
  <si>
    <t>EPOS/LIFE08-23</t>
  </si>
  <si>
    <t>6-07-7724</t>
  </si>
  <si>
    <t>EPOS/LIFE08-24</t>
  </si>
  <si>
    <t>6-07-7800</t>
  </si>
  <si>
    <t>EPOS/LIFE08-25</t>
  </si>
  <si>
    <t>6-07-7783</t>
  </si>
  <si>
    <t>EPOS/LIFE08-26</t>
  </si>
  <si>
    <t>6-07-7720</t>
  </si>
  <si>
    <t>EPOS/LIFE08-27</t>
  </si>
  <si>
    <t>6-07-7297</t>
  </si>
  <si>
    <t>EPOS/LIFE08-28</t>
  </si>
  <si>
    <t>6-07-9164</t>
  </si>
  <si>
    <t>EPOS/LIFE08-29</t>
  </si>
  <si>
    <t>6-07-1623</t>
  </si>
  <si>
    <t>EPOS/LIFE08-30</t>
  </si>
  <si>
    <t>6-07-7704</t>
  </si>
  <si>
    <t>EPOS/LIFE09-16</t>
  </si>
  <si>
    <t>EPOS/LIFE09-17</t>
  </si>
  <si>
    <t>EPOS/LIFE09-18</t>
  </si>
  <si>
    <t>EPOS/LIFE09-19</t>
  </si>
  <si>
    <t>EPOS/LIFE09-20</t>
  </si>
  <si>
    <t>EPOS/LIFE09-21</t>
  </si>
  <si>
    <t>EPOS/LIFE09-22</t>
  </si>
  <si>
    <t>EPOS/LIFE09-23</t>
  </si>
  <si>
    <t>EPOS/LIFE09-24</t>
  </si>
  <si>
    <t>EPOS/LIFE09-25</t>
  </si>
  <si>
    <t>EPOS/LIFE09-26</t>
  </si>
  <si>
    <t>EPOS/LIFE09-27</t>
  </si>
  <si>
    <t>EPOS/LIFE09-28</t>
  </si>
  <si>
    <t>EPOS/LIFE09-29</t>
  </si>
  <si>
    <t>EPOS/LIFE09-30</t>
  </si>
  <si>
    <t>EPOS/LIFE10-11</t>
  </si>
  <si>
    <t>6-07-7306</t>
  </si>
  <si>
    <t>EPOS/LIFE10-12</t>
  </si>
  <si>
    <t>6-07-7803</t>
  </si>
  <si>
    <t>EPOS/LIFE10-13</t>
  </si>
  <si>
    <t>6-07-7721</t>
  </si>
  <si>
    <t>EPOS/LIFE10-14</t>
  </si>
  <si>
    <t>6-07-7776</t>
  </si>
  <si>
    <t>EPOS/LIFE10-15</t>
  </si>
  <si>
    <t>6-07-7796</t>
  </si>
  <si>
    <t>EPOS/LIFE10-16</t>
  </si>
  <si>
    <t>6-07-7799</t>
  </si>
  <si>
    <t>EPOS/LIFE10-17</t>
  </si>
  <si>
    <t>6-07-7314</t>
  </si>
  <si>
    <t>EPOS/LIFE10-18</t>
  </si>
  <si>
    <t>6-07-7777</t>
  </si>
  <si>
    <t>EPOS/LIFE10-19</t>
  </si>
  <si>
    <t>6-07-7077</t>
  </si>
  <si>
    <t>EPOS/LIFE10-20</t>
  </si>
  <si>
    <t>6-07-7774</t>
  </si>
  <si>
    <t>EPOS/LIFE11-11</t>
  </si>
  <si>
    <t>8-07-8960</t>
  </si>
  <si>
    <t>EPOS/LIFE11-12</t>
  </si>
  <si>
    <t>8-07-9821</t>
  </si>
  <si>
    <t>EPOS/LIFE11-13</t>
  </si>
  <si>
    <t>8-07-9103</t>
  </si>
  <si>
    <t>EPOS/LIFE11-14</t>
  </si>
  <si>
    <t>8-07-9822</t>
  </si>
  <si>
    <t>EPOS/LIFE11-15</t>
  </si>
  <si>
    <t>8-07-8972</t>
  </si>
  <si>
    <t>EPOS/LIFE11-16</t>
  </si>
  <si>
    <t>4-08-1864</t>
  </si>
  <si>
    <t>EPOS/LIFE11-17</t>
  </si>
  <si>
    <t>6-07-7726</t>
  </si>
  <si>
    <t>EPOS/LIFE11-18</t>
  </si>
  <si>
    <t>6-07-7301</t>
  </si>
  <si>
    <t>EPOS/LIFE11-19</t>
  </si>
  <si>
    <t>6-07-7287</t>
  </si>
  <si>
    <t>EPOS/LIFE11-20</t>
  </si>
  <si>
    <t>8-07-8957</t>
  </si>
  <si>
    <t>EPOS/LIFE12-11</t>
  </si>
  <si>
    <t>1-10-388</t>
  </si>
  <si>
    <t>EPOS/LIFE12-12</t>
  </si>
  <si>
    <t>1-10-047</t>
  </si>
  <si>
    <t>EPOS/LIFE12-13</t>
  </si>
  <si>
    <t>1-10-040</t>
  </si>
  <si>
    <t>EPOS/LIFE12-14</t>
  </si>
  <si>
    <t>1-10-061</t>
  </si>
  <si>
    <t>EPOS/LIFE12-15</t>
  </si>
  <si>
    <t>1-10-407</t>
  </si>
  <si>
    <t>EPOS/LIFE12-16</t>
  </si>
  <si>
    <t>1-10-053</t>
  </si>
  <si>
    <t>EPOS/LIFE12-17</t>
  </si>
  <si>
    <t>1-10-356</t>
  </si>
  <si>
    <t>EPOS/LIFE12-18</t>
  </si>
  <si>
    <t>1-10-382</t>
  </si>
  <si>
    <t>EPOS/LIFE12-19</t>
  </si>
  <si>
    <t>1-10-351</t>
  </si>
  <si>
    <t>EPOS/LIFE12-20</t>
  </si>
  <si>
    <t>1-10-375</t>
  </si>
  <si>
    <t>EPOS/LIFE13-11</t>
  </si>
  <si>
    <t>1-10-358</t>
  </si>
  <si>
    <t>EPOS/LIFE13-12</t>
  </si>
  <si>
    <t>1-10-409</t>
  </si>
  <si>
    <t>EPOS/LIFE13-13</t>
  </si>
  <si>
    <t>1-10-401</t>
  </si>
  <si>
    <t>EPOS/LIFE13-14</t>
  </si>
  <si>
    <t>1-10-364</t>
  </si>
  <si>
    <t>EPOS/LIFE13-15</t>
  </si>
  <si>
    <t>1-10-049</t>
  </si>
  <si>
    <t>EPOS/LIFE13-16</t>
  </si>
  <si>
    <t>1-10-067</t>
  </si>
  <si>
    <t>EPOS/LIFE13-17</t>
  </si>
  <si>
    <t>1-10-354</t>
  </si>
  <si>
    <t>EPOS/LIFE13-18</t>
  </si>
  <si>
    <t>1-10-370</t>
  </si>
  <si>
    <t>EPOS/LIFE13-19</t>
  </si>
  <si>
    <t>1-10-378</t>
  </si>
  <si>
    <t>EPOS/LIFE13-20</t>
  </si>
  <si>
    <t>1-10-380</t>
  </si>
  <si>
    <t>EPOS/LIFE14-11</t>
  </si>
  <si>
    <t>1-10-319</t>
  </si>
  <si>
    <t>EPOS/LIFE14-12</t>
  </si>
  <si>
    <t>1-10-065</t>
  </si>
  <si>
    <t>EPOS/LIFE14-13</t>
  </si>
  <si>
    <t>1-10-062</t>
  </si>
  <si>
    <t>EPOS/LIFE14-14</t>
  </si>
  <si>
    <t>1-10-342</t>
  </si>
  <si>
    <t>EPOS/LIFE14-15</t>
  </si>
  <si>
    <t>1-10-400</t>
  </si>
  <si>
    <t>EPOS/LIFE14-16</t>
  </si>
  <si>
    <t>1-10-386</t>
  </si>
  <si>
    <t>EPOS/LIFE14-17</t>
  </si>
  <si>
    <t>1-10-394</t>
  </si>
  <si>
    <t>EPOS/LIFE14-18</t>
  </si>
  <si>
    <t>1-10-402</t>
  </si>
  <si>
    <t>EPOS/LIFE14-19</t>
  </si>
  <si>
    <t>1-10-399</t>
  </si>
  <si>
    <t>EPOS/LIFE14-20</t>
  </si>
  <si>
    <t>1-10-070</t>
  </si>
  <si>
    <t>EPOS/LIFE15-11</t>
  </si>
  <si>
    <t>1-10-404</t>
  </si>
  <si>
    <t>EPOS/LIFE15-12</t>
  </si>
  <si>
    <t>1-10-369</t>
  </si>
  <si>
    <t>EPOS/LIFE15-13</t>
  </si>
  <si>
    <t>1-10-048</t>
  </si>
  <si>
    <t>EPOS/LIFE15-14</t>
  </si>
  <si>
    <t>1-10-340</t>
  </si>
  <si>
    <t>EPOS/LIFE15-15</t>
  </si>
  <si>
    <t>1-10-376</t>
  </si>
  <si>
    <t>EPOS/LIFE15-16</t>
  </si>
  <si>
    <t>1-10-063</t>
  </si>
  <si>
    <t>EPOS/LIFE15-17</t>
  </si>
  <si>
    <t>1-10-363</t>
  </si>
  <si>
    <t>EPOS/LIFE15-18</t>
  </si>
  <si>
    <t>1-10-357</t>
  </si>
  <si>
    <t>EPOS/LIFE15-19</t>
  </si>
  <si>
    <t>1-10-390</t>
  </si>
  <si>
    <t>EPOS/LIFE15-20</t>
  </si>
  <si>
    <t>1-10-405</t>
  </si>
  <si>
    <t>EPOS/LIFE16-11</t>
  </si>
  <si>
    <t>EPOS/LIFE16-12</t>
  </si>
  <si>
    <t>EPOS/LIFE16-13</t>
  </si>
  <si>
    <t>EPOS/LIFE16-14</t>
  </si>
  <si>
    <t>EPOS/LIFE16-15</t>
  </si>
  <si>
    <t>EPOS/LIFE16-16</t>
  </si>
  <si>
    <t>EPOS/LIFE16-17</t>
  </si>
  <si>
    <t>EPOS/LIFE16-18</t>
  </si>
  <si>
    <t>EPOS/LIFE16-19</t>
  </si>
  <si>
    <t>EPOS/LIFE16-20</t>
  </si>
  <si>
    <t>EPOS/LIFE17-11</t>
  </si>
  <si>
    <t>EPOS/LIFE17-12</t>
  </si>
  <si>
    <t>EPOS/LIFE17-13</t>
  </si>
  <si>
    <t>EPOS/LIFE17-14</t>
  </si>
  <si>
    <t>EPOS/LIFE17-15</t>
  </si>
  <si>
    <t>EPOS/LIFE17-16</t>
  </si>
  <si>
    <t>EPOS/LIFE17-17</t>
  </si>
  <si>
    <t>EPOS/LIFE17-18</t>
  </si>
  <si>
    <t>EPOS/LIFE17-19</t>
  </si>
  <si>
    <t>EPOS/LIFE17-20</t>
  </si>
  <si>
    <t>EPOS/LIFE18-11</t>
  </si>
  <si>
    <t>EPOS/LIFE18-12</t>
  </si>
  <si>
    <t>EPOS/LIFE18-13</t>
  </si>
  <si>
    <t>EPOS/LIFE18-14</t>
  </si>
  <si>
    <t>EPOS/LIFE18-15</t>
  </si>
  <si>
    <t>EPOS/LIFE18-16</t>
  </si>
  <si>
    <t>EPOS/LIFE18-17</t>
  </si>
  <si>
    <t>EPOS/LIFE18-18</t>
  </si>
  <si>
    <t>EPOS/LIFE18-19</t>
  </si>
  <si>
    <t>EPOS/LIFE18-20</t>
  </si>
  <si>
    <t>EPOS/LIFE Vest Serviceble %</t>
  </si>
  <si>
    <t>EPOS/LIFE Vest Min. Seriviceble %</t>
  </si>
  <si>
    <t>AMSE/ Vehicle/ Palletized Seat/ ATGL Status</t>
  </si>
  <si>
    <t>Status %</t>
  </si>
  <si>
    <t>Min % Serv</t>
  </si>
  <si>
    <t>AMSE</t>
  </si>
  <si>
    <t>Critical Support Tools/Test Equipment</t>
  </si>
  <si>
    <t>Vehicles</t>
  </si>
  <si>
    <t>Palletized Seating</t>
  </si>
  <si>
    <t>ATGL's</t>
  </si>
  <si>
    <t>VEHICLE CONTACT INFORMATION</t>
  </si>
  <si>
    <t>SERV</t>
  </si>
  <si>
    <t>Rental Inspections</t>
  </si>
  <si>
    <t>6 Month Cond Format</t>
  </si>
  <si>
    <t>3 Month Cond Format</t>
  </si>
  <si>
    <t>Name</t>
  </si>
  <si>
    <t>Section</t>
  </si>
  <si>
    <t>Position</t>
  </si>
  <si>
    <t>Local</t>
  </si>
  <si>
    <r>
      <t xml:space="preserve">The rental vehicle company will contact the Wing Fleet manager when inspections are due. Fleet manager will send out notification to units. User </t>
    </r>
    <r>
      <rPr>
        <sz val="10"/>
        <rFont val="Arial"/>
        <family val="2"/>
      </rPr>
      <t xml:space="preserve">units are responsible to book and take vehicle for inspection. </t>
    </r>
    <r>
      <rPr>
        <b/>
        <sz val="10"/>
        <rFont val="Arial"/>
        <family val="2"/>
      </rPr>
      <t>Enterprise owned vehicles will be taken to Canadian Tire Trenton for service</t>
    </r>
    <r>
      <rPr>
        <sz val="10"/>
        <rFont val="Arial"/>
        <family val="2"/>
      </rPr>
      <t xml:space="preserve">. </t>
    </r>
  </si>
  <si>
    <t>Sgt Genie Martin</t>
  </si>
  <si>
    <t>Transport</t>
  </si>
  <si>
    <t>Fleet Manager</t>
  </si>
  <si>
    <t>3676 / 2299</t>
  </si>
  <si>
    <t>INSP</t>
  </si>
  <si>
    <t>Equipment Status</t>
  </si>
  <si>
    <t>SGT</t>
  </si>
  <si>
    <t>EME</t>
  </si>
  <si>
    <t>Maint Scheduler</t>
  </si>
  <si>
    <t>ASO</t>
  </si>
  <si>
    <t>Servicing</t>
  </si>
  <si>
    <t>Serv Desk Controller</t>
  </si>
  <si>
    <t>Line Controller</t>
  </si>
  <si>
    <t xml:space="preserve">MCpl </t>
  </si>
  <si>
    <t>Tool Crib</t>
  </si>
  <si>
    <t>TC Co-ordinator</t>
  </si>
  <si>
    <t>INSPECTION</t>
  </si>
  <si>
    <t>SERC</t>
  </si>
  <si>
    <t>SER Co-ordinator</t>
  </si>
  <si>
    <t>Ready</t>
  </si>
  <si>
    <t>Desk</t>
  </si>
  <si>
    <t>429 Supply</t>
  </si>
  <si>
    <t>Supply</t>
  </si>
  <si>
    <t xml:space="preserve">Vehicle </t>
  </si>
  <si>
    <t>A/C Towing Mule</t>
  </si>
  <si>
    <t>Scissor Lifts</t>
  </si>
  <si>
    <t>Cherry Picker</t>
  </si>
  <si>
    <t xml:space="preserve">Sgt </t>
  </si>
  <si>
    <t>Supervisor</t>
  </si>
  <si>
    <t>3762 / 4893</t>
  </si>
  <si>
    <t>Totall</t>
  </si>
  <si>
    <t>WO</t>
  </si>
  <si>
    <t>ARO</t>
  </si>
  <si>
    <t xml:space="preserve">429 (T) SQN Vehicle Monitoring List </t>
  </si>
  <si>
    <t>Make</t>
  </si>
  <si>
    <t>USER</t>
  </si>
  <si>
    <t>Vehicle Type</t>
  </si>
  <si>
    <t>CFR</t>
  </si>
  <si>
    <t>FUEL</t>
  </si>
  <si>
    <t>Seating</t>
  </si>
  <si>
    <t>Location</t>
  </si>
  <si>
    <t>Rental Return</t>
  </si>
  <si>
    <t>Comments #2</t>
  </si>
  <si>
    <t>Insp Due Date</t>
  </si>
  <si>
    <t>Spill kill</t>
  </si>
  <si>
    <t>WHITE TRUCK</t>
  </si>
  <si>
    <t>RAM 1500</t>
  </si>
  <si>
    <t>FRH7485</t>
  </si>
  <si>
    <t>GAS</t>
  </si>
  <si>
    <t>6 SEATER</t>
  </si>
  <si>
    <t xml:space="preserve">Rental from Enterprise,  available for use until at least 29 June 2026.  </t>
  </si>
  <si>
    <t>June 4th 2026</t>
  </si>
  <si>
    <t>GREY TRUCK</t>
  </si>
  <si>
    <t>CHEVROLET</t>
  </si>
  <si>
    <t>BR23821</t>
  </si>
  <si>
    <t>Blue Truck</t>
  </si>
  <si>
    <t>GMC</t>
  </si>
  <si>
    <t>CF92180</t>
  </si>
  <si>
    <t>5 Seater</t>
  </si>
  <si>
    <t>6 Hgr</t>
  </si>
  <si>
    <t xml:space="preserve">Ram 1500 </t>
  </si>
  <si>
    <t>14441</t>
  </si>
  <si>
    <t>6 Seater</t>
  </si>
  <si>
    <t>Green Truck</t>
  </si>
  <si>
    <t>GMC 3500</t>
  </si>
  <si>
    <t>P/UP (H)</t>
  </si>
  <si>
    <t>28100</t>
  </si>
  <si>
    <t>RTU serv 26-05-26</t>
  </si>
  <si>
    <t>ford 2500</t>
  </si>
  <si>
    <t>C/C  P/UP 4x4  (H)</t>
  </si>
  <si>
    <t>20040</t>
  </si>
  <si>
    <t>Grey Truck</t>
  </si>
  <si>
    <t>C/C  P/UP 4x4 (Lox/FLARE) W Cap</t>
  </si>
  <si>
    <t>23703</t>
  </si>
  <si>
    <t>returned to unit 24-APR-2026</t>
  </si>
  <si>
    <t>S/C  C1500 P/UP (Lox/Flare) W Cap</t>
  </si>
  <si>
    <t>18511</t>
  </si>
  <si>
    <t>3 Seater</t>
  </si>
  <si>
    <t>RTU  door panel missing, cap door strut u/s</t>
  </si>
  <si>
    <t>Chev 1500</t>
  </si>
  <si>
    <t>19795</t>
  </si>
  <si>
    <t>CALLED IN - Damage reported to - Right rear quarter panel dent
- Dent front right
- Door dented
- Door doesn't line up/ Upper hinge loose  (double click to see extend of damages)</t>
  </si>
  <si>
    <t>4X4 SXS</t>
  </si>
  <si>
    <t>KUBOTA</t>
  </si>
  <si>
    <t>ASO/ARO</t>
  </si>
  <si>
    <t>28981</t>
  </si>
  <si>
    <t>Diesel</t>
  </si>
  <si>
    <t>2 Seater</t>
  </si>
  <si>
    <t>White Cube</t>
  </si>
  <si>
    <t>C3500   Cube Van</t>
  </si>
  <si>
    <t>36645</t>
  </si>
  <si>
    <t>gear shift handle taped</t>
  </si>
  <si>
    <t>MULE</t>
  </si>
  <si>
    <t>TLD</t>
  </si>
  <si>
    <t>MULE -(Medium) D11  (H)</t>
  </si>
  <si>
    <t>17887</t>
  </si>
  <si>
    <t>DIESEL</t>
  </si>
  <si>
    <t>@TEME for annual inspection  10-MAR-2026</t>
  </si>
  <si>
    <t>MULE- TLD D6  (H)</t>
  </si>
  <si>
    <t>18747</t>
  </si>
  <si>
    <t>27-April -2026 Engine performance issues, Multiple shutt downs, picked up by TEME 28-Apr-2026</t>
  </si>
  <si>
    <t>18753</t>
  </si>
  <si>
    <t>temp warning light N/S, fluid quantities chacked serv, 07-may-2026, no T/T,  26-05-26 coolant level auto shutdown recovery called</t>
  </si>
  <si>
    <t>FMC JETLINE</t>
  </si>
  <si>
    <t>MULE (B-1200) - D11</t>
  </si>
  <si>
    <t>78023</t>
  </si>
  <si>
    <t>Tow</t>
  </si>
  <si>
    <t>U/S as a result of a collision on May 30th. Sensor indicates stabilizer deplyed. Wont shift out of park</t>
  </si>
  <si>
    <t>78024</t>
  </si>
  <si>
    <t>09/June/2026 RTU,    turn signals known u/s,  24 hydraulic known u/s</t>
  </si>
  <si>
    <t>1 Hgr</t>
  </si>
  <si>
    <t>A</t>
  </si>
  <si>
    <t>SKYJACK (33 Feet)</t>
  </si>
  <si>
    <t>LARGE SCISSOR LIFT</t>
  </si>
  <si>
    <t>75854</t>
  </si>
  <si>
    <t>scissor
 Lifts</t>
  </si>
  <si>
    <t>75855</t>
  </si>
  <si>
    <t>Rental</t>
  </si>
  <si>
    <t>RED SKYJACK (31 Feet)</t>
  </si>
  <si>
    <t>11440205</t>
  </si>
  <si>
    <t>ELECTRIC</t>
  </si>
  <si>
    <t>GENIE GS-3232 (38 Feet)</t>
  </si>
  <si>
    <t>SMALL SCISSOR LIFT</t>
  </si>
  <si>
    <t>17388</t>
  </si>
  <si>
    <t xml:space="preserve">Electric </t>
  </si>
  <si>
    <t>17387</t>
  </si>
  <si>
    <t>Electric</t>
  </si>
  <si>
    <t>Red Genie GS-3232 (38 Feet)</t>
  </si>
  <si>
    <t>11449972</t>
  </si>
  <si>
    <t>JLG (60 Feet)</t>
  </si>
  <si>
    <t>ORANGE CHERRY PICKER JLG</t>
  </si>
  <si>
    <t>04267</t>
  </si>
  <si>
    <t>Boom Lifts</t>
  </si>
  <si>
    <t>2026-05-30 ?</t>
  </si>
  <si>
    <t>GENIE S-85 (91 Feet)</t>
  </si>
  <si>
    <t xml:space="preserve">CHERRY PICKER </t>
  </si>
  <si>
    <t>21864</t>
  </si>
  <si>
    <t>low coolant trouble ticket sent for house call 28-Apr-2026</t>
  </si>
  <si>
    <t>2026-08-24 ?</t>
  </si>
  <si>
    <t>NILFISK</t>
  </si>
  <si>
    <t>FLOOR SCRUBBER</t>
  </si>
  <si>
    <t>16736</t>
  </si>
  <si>
    <t>ELECTRIC/PROPANE</t>
  </si>
  <si>
    <t>Other</t>
  </si>
  <si>
    <t>N509 (RENTAL)</t>
  </si>
  <si>
    <t>SUPPLY</t>
  </si>
  <si>
    <t>F/L 3K (supply)</t>
  </si>
  <si>
    <t>230112</t>
  </si>
  <si>
    <t>WAJAX RENTAL EQUIP (647-473-6045&gt;SAL)</t>
  </si>
  <si>
    <t>DOOSAN</t>
  </si>
  <si>
    <t>F/L 6K (supply)</t>
  </si>
  <si>
    <t>70271</t>
  </si>
  <si>
    <t>Proprane</t>
  </si>
  <si>
    <t>ALL</t>
  </si>
  <si>
    <t>Yellow Wagon</t>
  </si>
  <si>
    <t>96675</t>
  </si>
  <si>
    <t>GREY TRAILER</t>
  </si>
  <si>
    <t>ASO/serc</t>
  </si>
  <si>
    <t>Tire Trailer</t>
  </si>
  <si>
    <t>18610</t>
  </si>
  <si>
    <t>YELLOW TRAILER</t>
  </si>
  <si>
    <t>HH TRAILER</t>
  </si>
  <si>
    <t xml:space="preserve">YELLOW TRIPOD JACK TRAILER  </t>
  </si>
  <si>
    <t>26178</t>
  </si>
  <si>
    <t>Statistics</t>
  </si>
  <si>
    <t>Vehicle Assets</t>
  </si>
  <si>
    <t>Total Items</t>
  </si>
  <si>
    <t>Total Unserviceable Items</t>
  </si>
  <si>
    <t>Total Deployed Items</t>
  </si>
  <si>
    <t>Total Out for Inspection</t>
  </si>
  <si>
    <t>TIRES STATUS</t>
  </si>
  <si>
    <t>Max</t>
  </si>
  <si>
    <t>Serviceable - Assets at 429 MOB</t>
  </si>
  <si>
    <t>TOTAL Serviceable</t>
  </si>
  <si>
    <t>Unserviceable Assets at 429</t>
  </si>
  <si>
    <t>Unserviceable Assets Deployed</t>
  </si>
  <si>
    <t>xx</t>
  </si>
  <si>
    <t>TOTAL Unserviceable</t>
  </si>
  <si>
    <t>DEMAND TO 8 AMS</t>
  </si>
  <si>
    <t>Last updated</t>
  </si>
  <si>
    <t>Updated 27 May</t>
  </si>
  <si>
    <t>NOTES</t>
  </si>
  <si>
    <t>Current Goal: 13 X 15 seat,  3 X 10 seat + 2 x 10 seat</t>
  </si>
  <si>
    <t>DEP</t>
  </si>
  <si>
    <t>Coming due</t>
  </si>
  <si>
    <t>Information on deployed Palletized seating obtained from latest deployment report.</t>
  </si>
  <si>
    <t>P/F due</t>
  </si>
  <si>
    <t>Life preserver ref des:2564PLST</t>
  </si>
  <si>
    <t>1680-01-572-0471</t>
  </si>
  <si>
    <t>INFORMATION</t>
  </si>
  <si>
    <t>Pallets reported different from original configuration.</t>
  </si>
  <si>
    <r>
      <t>Pallet 
Status</t>
    </r>
    <r>
      <rPr>
        <sz val="10"/>
        <rFont val="Arial"/>
      </rPr>
      <t xml:space="preserve"> </t>
    </r>
  </si>
  <si>
    <t>Currently servicable</t>
  </si>
  <si>
    <t>Pallet #</t>
  </si>
  <si>
    <t xml:space="preserve">Type </t>
  </si>
  <si>
    <t xml:space="preserve">Location </t>
  </si>
  <si>
    <t>LIFE PRESERVER S/N</t>
  </si>
  <si>
    <t>EPOS Insp C/O</t>
  </si>
  <si>
    <t>EPOS Insp Due</t>
  </si>
  <si>
    <t>EPOS TX DATE</t>
  </si>
  <si>
    <t xml:space="preserve">LP Insp DUE  </t>
  </si>
  <si>
    <t>Date updated</t>
  </si>
  <si>
    <t xml:space="preserve">Actioned </t>
  </si>
  <si>
    <t>LPSP001</t>
  </si>
  <si>
    <t xml:space="preserve">Epos at Lox </t>
  </si>
  <si>
    <t>LPSP002</t>
  </si>
  <si>
    <t>Oct28/Jun32</t>
  </si>
  <si>
    <t>16/3/2026</t>
  </si>
  <si>
    <t>LPs</t>
  </si>
  <si>
    <t>LPSP003</t>
  </si>
  <si>
    <t>Part No.</t>
  </si>
  <si>
    <t>MR-10096AF</t>
  </si>
  <si>
    <t>A-A-50652</t>
  </si>
  <si>
    <t>LPSP004</t>
  </si>
  <si>
    <t>LPSP005</t>
  </si>
  <si>
    <t>LPSP006</t>
  </si>
  <si>
    <t>LPSP007</t>
  </si>
  <si>
    <t>LPSP008</t>
  </si>
  <si>
    <t>LPSP009</t>
  </si>
  <si>
    <t>LPSP010</t>
  </si>
  <si>
    <t>LPSP011</t>
  </si>
  <si>
    <t>LPSP012</t>
  </si>
  <si>
    <t>LPSP013</t>
  </si>
  <si>
    <t>Oct 28/Nov28</t>
  </si>
  <si>
    <t>LPSP014</t>
  </si>
  <si>
    <t>LPSP015</t>
  </si>
  <si>
    <t>Oct28/Nov29</t>
  </si>
  <si>
    <t>SOO LUM</t>
  </si>
  <si>
    <t>LPSP016</t>
  </si>
  <si>
    <t>LPSP017</t>
  </si>
  <si>
    <t>EPOS to be removed tagged and moved to Lox bldg</t>
  </si>
  <si>
    <t>LPSP018</t>
  </si>
  <si>
    <t>Mar 28/Oct 28/Jun32</t>
  </si>
  <si>
    <t xml:space="preserve">U/S, 3 Apr 25: LPs sent to 10 Hgr ALSE Shop. 5 June 25: 10 Hgr ALSE &amp; 429 Maint Planner advised that awaiting lights to build LP batch.  / 17 Nov 25 : Epos sent for inspection </t>
  </si>
  <si>
    <t>SPARE #1</t>
  </si>
  <si>
    <t>LPSPSPARE1</t>
  </si>
  <si>
    <t>In ALSE Locker</t>
  </si>
  <si>
    <t>SPARE #2</t>
  </si>
  <si>
    <t>LPSPSPARE2</t>
  </si>
  <si>
    <t>In the ALSE locker</t>
  </si>
  <si>
    <t>SPARE #3</t>
  </si>
  <si>
    <t>LPSPSPARE3</t>
  </si>
  <si>
    <t>installed on Seat</t>
  </si>
  <si>
    <t>LSAS Kits</t>
  </si>
  <si>
    <t>S/N</t>
  </si>
  <si>
    <r>
      <t xml:space="preserve">Remarks  </t>
    </r>
    <r>
      <rPr>
        <b/>
        <sz val="10"/>
        <color indexed="10"/>
        <rFont val="Arial"/>
        <family val="2"/>
      </rPr>
      <t xml:space="preserve">NOTE: Inspections are c/o IAW 1C-17A-2-41GS-00-1 para 2-22 </t>
    </r>
  </si>
  <si>
    <t>NG</t>
  </si>
  <si>
    <t>ATGL Serial No.</t>
  </si>
  <si>
    <t>Condition</t>
  </si>
  <si>
    <t>Current Hours</t>
  </si>
  <si>
    <t>Inspection</t>
  </si>
  <si>
    <t>Hours/date due</t>
  </si>
  <si>
    <t>Hours/days remaining</t>
  </si>
  <si>
    <t>EPOS # &amp; SER</t>
  </si>
  <si>
    <t>EPOS 180 Days Insp Due</t>
  </si>
  <si>
    <t>EPOS Life TX</t>
  </si>
  <si>
    <t>Ser #005</t>
  </si>
  <si>
    <t>450h</t>
  </si>
  <si>
    <t>450 / 22-Apr-2026</t>
  </si>
  <si>
    <t>#1: R1702246</t>
  </si>
  <si>
    <t>NG ATGL 005.  In shop for 6 month inspection</t>
  </si>
  <si>
    <t xml:space="preserve">Sgt's NoteWe are in the process of getting a “Spares Kit”, from Knight Aerospace, which will provide us with items (best guess) that would likely need to be replaced. No Rob is Auth. </t>
  </si>
  <si>
    <t>5000h</t>
  </si>
  <si>
    <t>#2: R1702090</t>
  </si>
  <si>
    <t>5 year</t>
  </si>
  <si>
    <t>Ser #006</t>
  </si>
  <si>
    <t>#1: R1903773</t>
  </si>
  <si>
    <t>27 Jun 25:x 2 Water pump U/S, Power Control Module removed and sent to KA, No PWR to be Apllied. Anti Rattle Device removed . Oven Ops check TBCO, Hard down NO ETA</t>
  </si>
  <si>
    <t>Sgt Note:replacement Controller failed ATP and should be shipped to Knight next week. Arrangements are being made to have Knight come up to repair both NG-Gen ATGL’s SN CF005 (Oven Bracket) and SN CF006 (Controller/Water Pump) sometime in August</t>
  </si>
  <si>
    <t>#2: R1903774</t>
  </si>
  <si>
    <t>Ser #007</t>
  </si>
  <si>
    <t>450 / 28-Oct-2026</t>
  </si>
  <si>
    <t>#1: R2231560</t>
  </si>
  <si>
    <t>#2: R2231581</t>
  </si>
  <si>
    <t>Ser #008</t>
  </si>
  <si>
    <t>7 HGR</t>
  </si>
  <si>
    <t>450 / 15-Jun-2026</t>
  </si>
  <si>
    <t>#1: R1905402</t>
  </si>
  <si>
    <t>#2: R1903845</t>
  </si>
  <si>
    <t>Legacy</t>
  </si>
  <si>
    <t>CF 001</t>
  </si>
  <si>
    <t>#1: R1808909</t>
  </si>
  <si>
    <t>Deviation Extended until November 2026</t>
  </si>
  <si>
    <t>#2: R1808400</t>
  </si>
  <si>
    <t>CF 002</t>
  </si>
  <si>
    <t>X</t>
  </si>
  <si>
    <t>Permanently U/S</t>
  </si>
  <si>
    <t xml:space="preserve">ATGL DAMAGED DURING MAMS MOVEMENT AT 1 HGR WHILE USING K-LOADER.09 JUN 21.  QUARANTINE LIFTED  (WO ASHBEE)  AECMS CURRENTLY REMOVING AND RECORDING COMPONENTS FOR REPLACEMENT OR SALVAGE. LCMM TO CONFIRM WITH FINAL DECISIONS. </t>
  </si>
  <si>
    <t xml:space="preserve">CF 003                </t>
  </si>
  <si>
    <t>#1: R1421441</t>
  </si>
  <si>
    <t>2X EPOS/ 2X LP with AECMS</t>
  </si>
  <si>
    <t>#2: R2231627</t>
  </si>
  <si>
    <t xml:space="preserve">CF 004               </t>
  </si>
  <si>
    <t>#1: R1808374</t>
  </si>
  <si>
    <t>2X EPOS/ 2X LP with AECMS, TCTO EPOS C/O</t>
  </si>
  <si>
    <t>#2: R1808417</t>
  </si>
  <si>
    <t>180 Days (Due)</t>
  </si>
  <si>
    <t>Life</t>
  </si>
  <si>
    <t>Assigned to</t>
  </si>
  <si>
    <t>E363 WO #</t>
  </si>
  <si>
    <t>R1808909</t>
  </si>
  <si>
    <t>ATGL001</t>
  </si>
  <si>
    <t>3231-2460830-181956-7850</t>
  </si>
  <si>
    <t>R1808400</t>
  </si>
  <si>
    <t>3231-2460830-182850-4090</t>
  </si>
  <si>
    <t>R1421441</t>
  </si>
  <si>
    <t>ATGL003</t>
  </si>
  <si>
    <t>3231-2460831-143818-2860</t>
  </si>
  <si>
    <t>R2231627</t>
  </si>
  <si>
    <t>3231-2460831-150440-0420</t>
  </si>
  <si>
    <t>R1808374</t>
  </si>
  <si>
    <t>ATGL004</t>
  </si>
  <si>
    <t>3231-2460830-183159-8250</t>
  </si>
  <si>
    <t>R1808417</t>
  </si>
  <si>
    <t>3231-2460830-183520-9980</t>
  </si>
  <si>
    <t>R1702246</t>
  </si>
  <si>
    <t>ATGL 005</t>
  </si>
  <si>
    <t>3231-2460831-150844-0760</t>
  </si>
  <si>
    <t>R1702090</t>
  </si>
  <si>
    <t>3231-2460831-151323-2370</t>
  </si>
  <si>
    <t>R1903773</t>
  </si>
  <si>
    <t>ATGL006</t>
  </si>
  <si>
    <t>3231-2460831-151839-5580</t>
  </si>
  <si>
    <t>R1903774</t>
  </si>
  <si>
    <t>3231-2460831-152230-9900</t>
  </si>
  <si>
    <t>R2231560</t>
  </si>
  <si>
    <t>ATGL007</t>
  </si>
  <si>
    <t>3231-2460831-152728-1080</t>
  </si>
  <si>
    <t>R2231581</t>
  </si>
  <si>
    <t>3231-2460831-153010-8130</t>
  </si>
  <si>
    <t>R1905402</t>
  </si>
  <si>
    <t>ATGL008</t>
  </si>
  <si>
    <t>3231-2460830-183009-7780</t>
  </si>
  <si>
    <t>R1903845</t>
  </si>
  <si>
    <t>3231-2460830-182513-1820</t>
  </si>
  <si>
    <t>References:</t>
  </si>
  <si>
    <t>NSN: 7360-01-328-5127</t>
  </si>
  <si>
    <t>TO 13B4-4-6WC-1 - ATGL Inspection Requirements</t>
  </si>
  <si>
    <t>WI 4.9.46 - CC177 ATGL Management</t>
  </si>
  <si>
    <t>SLA:</t>
  </si>
  <si>
    <t>5000 hrs inspection list (TO 13B4-4-6WC-1) and the ATGL Refurb Pre-Inspection list (J104127</t>
  </si>
  <si>
    <t>5 Year Depot Inspection Extension- granting a one-time extension to the depot level inspection from 5 Years to 10 Years or until the ATGLs reach their respective 5000hrs inspection cycle, whichever occurs first.   
HARD COPY ATTACHED TO ALL ATGL CF363 BLUE BOOKS</t>
  </si>
  <si>
    <t>Current as of</t>
  </si>
  <si>
    <t>ALL J BOLTS HAVE BEEN REPLACED&gt; 20 JAN 22</t>
  </si>
  <si>
    <t>N:\8 AMS\8 AMS Confined Space\AECMS PLATE\AECMS Equipment</t>
  </si>
  <si>
    <t>Engine Stand #1</t>
  </si>
  <si>
    <t>Z001</t>
  </si>
  <si>
    <t>AIRCRAFT MAINT PLATFORM - 30 FOOT</t>
  </si>
  <si>
    <t>Servicable.</t>
  </si>
  <si>
    <t>Z003</t>
  </si>
  <si>
    <t>AIRCRAFT INLET INSPECTION PLATFORM</t>
  </si>
  <si>
    <t>To be repaired</t>
  </si>
  <si>
    <t>Z005</t>
  </si>
  <si>
    <t>2 STEP PLATFORM</t>
  </si>
  <si>
    <t>Z007</t>
  </si>
  <si>
    <t>Z011</t>
  </si>
  <si>
    <t>DESKTOP TRAY</t>
  </si>
  <si>
    <t>Z012</t>
  </si>
  <si>
    <t>Z020</t>
  </si>
  <si>
    <t>WORK BENCH</t>
  </si>
  <si>
    <t>Engine Stand #2</t>
  </si>
  <si>
    <t>Z002</t>
  </si>
  <si>
    <t>Z004</t>
  </si>
  <si>
    <t>Z006</t>
  </si>
  <si>
    <t>Z008</t>
  </si>
  <si>
    <t>3 STEP PLATFORM</t>
  </si>
  <si>
    <t>Z014</t>
  </si>
  <si>
    <t>Z015</t>
  </si>
  <si>
    <t>Z021</t>
  </si>
  <si>
    <t>Engine Stand #3</t>
  </si>
  <si>
    <t>Z026</t>
  </si>
  <si>
    <t>Z024</t>
  </si>
  <si>
    <t>Z028</t>
  </si>
  <si>
    <t>Z009</t>
  </si>
  <si>
    <t>Z016</t>
  </si>
  <si>
    <t>Z017</t>
  </si>
  <si>
    <t>Z022</t>
  </si>
  <si>
    <t>Engine Stand #4</t>
  </si>
  <si>
    <t>Z027</t>
  </si>
  <si>
    <t>Z029</t>
  </si>
  <si>
    <t>Z025</t>
  </si>
  <si>
    <t>Z010</t>
  </si>
  <si>
    <t>Z018</t>
  </si>
  <si>
    <t>Z019</t>
  </si>
  <si>
    <t>Z023</t>
  </si>
  <si>
    <t>Decommisioned Equip - Returned To Supply</t>
  </si>
  <si>
    <t>Decommissioned and Mothballed AMSE List</t>
  </si>
  <si>
    <t>Mothballed Equip - Long Term Storage</t>
  </si>
  <si>
    <t>Mothballed Equip - Waiting disposal /replacement auth.</t>
  </si>
  <si>
    <t>Lost Report (To be written off)</t>
  </si>
  <si>
    <t xml:space="preserve">TC Max # </t>
  </si>
  <si>
    <t>Disposal Date</t>
  </si>
  <si>
    <t>Reported By</t>
  </si>
  <si>
    <t>Item Disposition</t>
  </si>
  <si>
    <t xml:space="preserve">SCA Item </t>
  </si>
  <si>
    <t>Removed from SCA</t>
  </si>
  <si>
    <t>TNT 365</t>
  </si>
  <si>
    <t>BRIDLE, TOWING</t>
  </si>
  <si>
    <t>MCpl Conlon, 429 SERC</t>
  </si>
  <si>
    <t>Towing Bridal to be replaced. Item removed from Critical AMSE Min/Max and inspection cycle under authority of C.D. Desaulniers, WSM via email dated Monday, November 14th, 2011. See comment for email contents.</t>
  </si>
  <si>
    <t>Sprung shelter east of 7 Hgr</t>
  </si>
  <si>
    <t>TNT 411</t>
  </si>
  <si>
    <t>Gaseous Oxygen Cart</t>
  </si>
  <si>
    <t xml:space="preserve">BLR, Awaiting disposal instruction at LOX BLDG </t>
  </si>
  <si>
    <t>Awaiting instructions</t>
  </si>
  <si>
    <t>Yes</t>
  </si>
  <si>
    <t xml:space="preserve">        JM 6507  still on SCA</t>
  </si>
  <si>
    <t>TR-CH 081</t>
  </si>
  <si>
    <t>TANK STORAGE, LOX CART</t>
  </si>
  <si>
    <t>AWOL - Loss report initiated of 14 Feb 12/ being written off</t>
  </si>
  <si>
    <t>TNT 867</t>
  </si>
  <si>
    <t>80398-3</t>
  </si>
  <si>
    <t>PUMPING UNIT, HYDRAULIC, ELECTRICAL OPERATED (JACKING CONSOLE)                      (NSN 4320-01-583-0483)</t>
  </si>
  <si>
    <t>Pressure not acceptable for C17. Returned to depot reference TA approval</t>
  </si>
  <si>
    <t>Sgt Crouchman</t>
  </si>
  <si>
    <t>TNT 880</t>
  </si>
  <si>
    <t>1017</t>
  </si>
  <si>
    <t>TOW BAR</t>
  </si>
  <si>
    <t>Sent on CFC 4097 to OPS HUB COLOGNE ATTN: WO May &amp; Capt. Fisher</t>
  </si>
  <si>
    <t>WO May and Capt Fisher</t>
  </si>
  <si>
    <t>TNT 870</t>
  </si>
  <si>
    <t>11034-1</t>
  </si>
  <si>
    <t>NLG RINO JACK</t>
  </si>
  <si>
    <t xml:space="preserve">BLR'd </t>
  </si>
  <si>
    <t>Leo Post</t>
  </si>
  <si>
    <t>60 ton A/C Jack</t>
  </si>
  <si>
    <t>TCN # 8003755205 for depot in Montreal</t>
  </si>
  <si>
    <t>TNT 895</t>
  </si>
  <si>
    <t>2112-1051</t>
  </si>
  <si>
    <t>TNT 048, MNG</t>
  </si>
  <si>
    <t>SN: 8686-1256</t>
  </si>
  <si>
    <t>18 June 25</t>
  </si>
  <si>
    <t>Cpl St-Denis</t>
  </si>
  <si>
    <t>BLR's</t>
  </si>
  <si>
    <t>8 Wg Customer Service</t>
  </si>
  <si>
    <t>TNT 893, MNG</t>
  </si>
  <si>
    <t>SN: 187394</t>
  </si>
  <si>
    <t>22 Jan 25</t>
  </si>
  <si>
    <t>MCpl Narula</t>
  </si>
  <si>
    <t>19 Dec 24: Returned to Unit; BLR, to be sent to 3rd line</t>
  </si>
  <si>
    <t>TNT 022, GPU</t>
  </si>
  <si>
    <t>L-390S-2074</t>
  </si>
  <si>
    <t>TNT 882, Blast Cleaning Machine</t>
  </si>
  <si>
    <t>1-11-96-2</t>
  </si>
  <si>
    <t>5 Feb 25</t>
  </si>
  <si>
    <t>Removed from SCA:</t>
  </si>
  <si>
    <t>TNT 821</t>
  </si>
  <si>
    <t>Air Conditioning Cart (NSN 4120-01-508-1404)</t>
  </si>
  <si>
    <t xml:space="preserve">TNT 822 </t>
  </si>
  <si>
    <t xml:space="preserve">TNT 824 </t>
  </si>
  <si>
    <t xml:space="preserve">TNT 045 </t>
  </si>
  <si>
    <t>Fuel Cell Heater (NSN 4520-01-310-0690)</t>
  </si>
  <si>
    <t xml:space="preserve">TNT 046 </t>
  </si>
  <si>
    <t>TNT 018</t>
  </si>
  <si>
    <t>GPU</t>
  </si>
  <si>
    <t>MNG</t>
  </si>
  <si>
    <t>Items Not Inspected by AMSE</t>
  </si>
  <si>
    <t xml:space="preserve">If an item goes below the minimum (Status goes RED), ASO to advise SAMEO immediately. </t>
  </si>
  <si>
    <t>if an item becomes Yellow on Date Due, item is due for inspection in 61 days.</t>
  </si>
  <si>
    <t>EQUIPMENT CONDITION</t>
  </si>
  <si>
    <t>***Copy columns A through J for SAMEO briefing slides***</t>
  </si>
  <si>
    <t>Remarks Column</t>
  </si>
  <si>
    <t xml:space="preserve">AMSE ROOM </t>
  </si>
  <si>
    <t>TC Max #</t>
  </si>
  <si>
    <t>PART #</t>
  </si>
  <si>
    <t>LOCATION</t>
  </si>
  <si>
    <t>INFO</t>
  </si>
  <si>
    <t>17G110128-1</t>
  </si>
  <si>
    <t>ADAPTER-HOIST RAMP ACTUATING CYLINDER   (NSN 1730-01-306-5542)</t>
  </si>
  <si>
    <t>TO BE INSPECTED BY USER PRIOR AND AFTER USE</t>
  </si>
  <si>
    <t>LGS 5</t>
  </si>
  <si>
    <t>TNT 087</t>
  </si>
  <si>
    <t>17G450429-1</t>
  </si>
  <si>
    <t>INSTALLATION FIXTURE, STAB STRUT                             (NSN 1730-01-542-4210)</t>
  </si>
  <si>
    <t>AMSE RM</t>
  </si>
  <si>
    <t>TNT 103</t>
  </si>
  <si>
    <t>17G410003-1</t>
  </si>
  <si>
    <t>STRAP, SUPPORT - RAM AIR INLET                                                       (NSN 1730-01-350-1153)</t>
  </si>
  <si>
    <t>A-1A-C</t>
  </si>
  <si>
    <t>TNT 161</t>
  </si>
  <si>
    <t>SLING, BEAM - MLG SHOCK STRUT                               (NSN 1730-01-267-0618 )</t>
  </si>
  <si>
    <t>W2</t>
  </si>
  <si>
    <t>TNT 161/290 WRAPPED IN BUBBLE WRAP IN BOX IN SPRUNG SHELTER TO BE MOVED TO W2</t>
  </si>
  <si>
    <t>TNT 290</t>
  </si>
  <si>
    <t>17G130026-1</t>
  </si>
  <si>
    <t>TNT 694</t>
  </si>
  <si>
    <t>TNT 231</t>
  </si>
  <si>
    <t>17G420265-1</t>
  </si>
  <si>
    <t>FIXTURE, INSTALL/ REMOVE - A/C APU                               (NSN 4920-01-479-3516)</t>
  </si>
  <si>
    <t xml:space="preserve">G-1-A                                                                                    </t>
  </si>
  <si>
    <t>TNT 644</t>
  </si>
  <si>
    <t>F-1-B</t>
  </si>
  <si>
    <t>TNT 233</t>
  </si>
  <si>
    <t>WIRE ROPE ASSY                                                           (NSN 4010-01-313-8691)</t>
  </si>
  <si>
    <t>LGS 7</t>
  </si>
  <si>
    <t>TNT 234</t>
  </si>
  <si>
    <t>17G113093-1</t>
  </si>
  <si>
    <t>TNT 243</t>
  </si>
  <si>
    <t>TNT 254</t>
  </si>
  <si>
    <t>HOIST, FISHPOLE - A/C LINE REPLACEABLE UNITS  (NSN 1730-01-436-9399)</t>
  </si>
  <si>
    <t>35D4-4-94-1  proof load every time a parts is replace inspection</t>
  </si>
  <si>
    <t>E-2-A</t>
  </si>
  <si>
    <t>TNT 255</t>
  </si>
  <si>
    <t>17G113298-1</t>
  </si>
  <si>
    <t>every year for cables and full assembly</t>
  </si>
  <si>
    <t>TNT 700</t>
  </si>
  <si>
    <t>TNT 268</t>
  </si>
  <si>
    <t>17G420264-1</t>
  </si>
  <si>
    <t>FIXTURE, INSTALL/ REMOVE A/C IDG                                              (NSN 4920-01-479-3067)</t>
  </si>
  <si>
    <t>TNT 270</t>
  </si>
  <si>
    <t>TNT 287</t>
  </si>
  <si>
    <t>FIXTURE, AIRCRAFT, ENG ACCESSORY DOOR STAND (NSN 4920-01-296-7260)</t>
  </si>
  <si>
    <t xml:space="preserve">SPRUNG SHELTER (X4)                                                                                                                AMSE RM(X0)                                                                </t>
  </si>
  <si>
    <t>TNT 288</t>
  </si>
  <si>
    <t>17G230041-1</t>
  </si>
  <si>
    <t>TNT 832</t>
  </si>
  <si>
    <t>TNT 833</t>
  </si>
  <si>
    <t>TNT 372</t>
  </si>
  <si>
    <t>17G230277-1</t>
  </si>
  <si>
    <t>INLET ASSY ADAPTER SET (NSN 1730-01-455-0084)</t>
  </si>
  <si>
    <t>G-2-B</t>
  </si>
  <si>
    <t>TNT 453</t>
  </si>
  <si>
    <t>17G110059-1</t>
  </si>
  <si>
    <t>ADAPTER ASSY, HOIST - CREW DOOR                        (NSN 3940-01-441-4934)</t>
  </si>
  <si>
    <t>LGS1</t>
  </si>
  <si>
    <t>TNT 477</t>
  </si>
  <si>
    <t>17G140299-1</t>
  </si>
  <si>
    <t>LOCK, A/C GROUND SAFETY OUTBOARD ELEVATOR SURFACE (NSN 1730-01-384-9068)</t>
  </si>
  <si>
    <t xml:space="preserve">W2                                                                                         </t>
  </si>
  <si>
    <t>TNT 478</t>
  </si>
  <si>
    <t xml:space="preserve">  B-4-C</t>
  </si>
  <si>
    <t>TNT 479</t>
  </si>
  <si>
    <t>17G140254-1</t>
  </si>
  <si>
    <t>LOCK, A/C GROUND SAFETY INBOARD ELEVATOR SURFACE (NSN 1730-01-384-9090)</t>
  </si>
  <si>
    <t xml:space="preserve">W2                                                                                    </t>
  </si>
  <si>
    <t>TNT 480</t>
  </si>
  <si>
    <t xml:space="preserve">    B-4-C</t>
  </si>
  <si>
    <t>17G110971-1</t>
  </si>
  <si>
    <t>FIXTURE, HOLDING - TROOP DOOR                            (NSN 4920-01-419-6747)</t>
  </si>
  <si>
    <t xml:space="preserve">SPRUNG SHELTER                                                           </t>
  </si>
  <si>
    <t>TO BE DMIL</t>
  </si>
  <si>
    <t>TNT 512</t>
  </si>
  <si>
    <t>ML500K-2C10-25</t>
  </si>
  <si>
    <r>
      <t>HOIST, CHAIN - AIR POWERED                                                          (NSN 3950-01-163-9955</t>
    </r>
    <r>
      <rPr>
        <b/>
        <sz val="8"/>
        <rFont val="Arial"/>
        <family val="2"/>
      </rPr>
      <t>)</t>
    </r>
  </si>
  <si>
    <t xml:space="preserve">W2                                   </t>
  </si>
  <si>
    <t>TNT 513</t>
  </si>
  <si>
    <t>TNT 517</t>
  </si>
  <si>
    <t>17G110012-1</t>
  </si>
  <si>
    <t>SLING, MULTI-LEG                                                                                          (NSN 3940-01-251-5979)</t>
  </si>
  <si>
    <t>END OF AISLE C</t>
  </si>
  <si>
    <t>TNT 518</t>
  </si>
  <si>
    <t>TNT 566</t>
  </si>
  <si>
    <t>17G490129-1</t>
  </si>
  <si>
    <t>KIT, HOISTING - OBIGGS 2 HEAT EXCH/ BOOST COMP (NSN 4920-01-525-7013)</t>
  </si>
  <si>
    <t xml:space="preserve">LGS 3                                                                                       </t>
  </si>
  <si>
    <t>TNT 734</t>
  </si>
  <si>
    <t xml:space="preserve">  LGS 3</t>
  </si>
  <si>
    <t>TNT 577</t>
  </si>
  <si>
    <t>4013-1</t>
  </si>
  <si>
    <t>SLING, A/C MAINTENANCE - UARRSI                            (NSN 1730-00-553-3202)</t>
  </si>
  <si>
    <t>G-2-C</t>
  </si>
  <si>
    <t>TNT 656</t>
  </si>
  <si>
    <t>17G130485-1</t>
  </si>
  <si>
    <t>HOIST, AXLE BEAM ASSY - MLG                                                          (NSN 1730-01-558-1817)</t>
  </si>
  <si>
    <t>C-3-C</t>
  </si>
  <si>
    <t>TNT 692</t>
  </si>
  <si>
    <t>17G490131-1</t>
  </si>
  <si>
    <t>BEAM, HOISTING - OBIGGS 2 - ASM                              (NSN 3940-01-525-9602)</t>
  </si>
  <si>
    <t>TNT 803</t>
  </si>
  <si>
    <t>17G140357-1</t>
  </si>
  <si>
    <t>FIXTURE, INSTALLATION &amp; REMOVAL - RUDDER IFCM (NSN 4920-01-540-1249)</t>
  </si>
  <si>
    <t xml:space="preserve">A-3-C                                                                               </t>
  </si>
  <si>
    <t>TNT 803A</t>
  </si>
  <si>
    <t>A-3-C</t>
  </si>
  <si>
    <t>TNT 805</t>
  </si>
  <si>
    <t>FIXTURE - LIFE RAFT  (NSN 1730-01535-2475)</t>
  </si>
  <si>
    <t>TNT 831</t>
  </si>
  <si>
    <t>17G450428-1</t>
  </si>
  <si>
    <t>FIXTURE - RAT STOWING     (NSN 4920-01-542-4211)</t>
  </si>
  <si>
    <t xml:space="preserve">C-3-B                                                                             </t>
  </si>
  <si>
    <t>TNT 831A</t>
  </si>
  <si>
    <t xml:space="preserve">  C-3-A</t>
  </si>
  <si>
    <t>TNT 835</t>
  </si>
  <si>
    <t>17G110625-1</t>
  </si>
  <si>
    <t>FIXTURE LIFTING, VERTICAL STAB LEADING EDGE (NSN 1730-01-540-3330)</t>
  </si>
  <si>
    <t>E-4-A</t>
  </si>
  <si>
    <t>TNT 986</t>
  </si>
  <si>
    <t>17G110637-1</t>
  </si>
  <si>
    <t>ADAPTER SET, HOISTING - ELEVATOR/AILERON/SLAT (NSN 1730-01-529-9811)</t>
  </si>
  <si>
    <t xml:space="preserve">D-4-C                                                                            </t>
  </si>
  <si>
    <t>TNT 986A</t>
  </si>
  <si>
    <r>
      <t xml:space="preserve"> </t>
    </r>
    <r>
      <rPr>
        <sz val="8"/>
        <rFont val="Arial"/>
        <family val="2"/>
      </rPr>
      <t>D-4-C</t>
    </r>
  </si>
  <si>
    <r>
      <t xml:space="preserve">Lifting Accessories  </t>
    </r>
    <r>
      <rPr>
        <b/>
        <sz val="16"/>
        <color indexed="10"/>
        <rFont val="Arial"/>
        <family val="2"/>
      </rPr>
      <t>This page under construction</t>
    </r>
  </si>
  <si>
    <t>Part #</t>
  </si>
  <si>
    <t>SER#</t>
  </si>
  <si>
    <t>INSPECTION REQ'</t>
  </si>
  <si>
    <t xml:space="preserve">INFO </t>
  </si>
  <si>
    <t>TNT 007</t>
  </si>
  <si>
    <t>17G110080-1</t>
  </si>
  <si>
    <t>SLING, AIRCRAFT MAINTENANCE FWD AFT RUDDER (NSN 1730-01-304-6046)</t>
  </si>
  <si>
    <t>NEXT INSP  :  10 JUN 22</t>
  </si>
  <si>
    <t>TNT 690</t>
  </si>
  <si>
    <t>INSP DUE:  14 SEP 22</t>
  </si>
  <si>
    <t>SOO LUM 16 SEP 21</t>
  </si>
  <si>
    <t>TNT 008</t>
  </si>
  <si>
    <t>17G110081-1</t>
  </si>
  <si>
    <t>9875200003</t>
  </si>
  <si>
    <t>ADAPTER, HOISTING - AFT RUDDER SLING                   (NSN 4920-01-290-2911)</t>
  </si>
  <si>
    <t>1 HGR AMSE RM</t>
  </si>
  <si>
    <t>TNT 687</t>
  </si>
  <si>
    <t>98752000021</t>
  </si>
  <si>
    <t>TNT 010</t>
  </si>
  <si>
    <t>17G110082-1</t>
  </si>
  <si>
    <t>9875200019</t>
  </si>
  <si>
    <t>ADAPTER, HOISTING FWD RUDDER SLING                        (NSN 3940-01-302-4994)</t>
  </si>
  <si>
    <t>TNT 702</t>
  </si>
  <si>
    <t>TNT 011</t>
  </si>
  <si>
    <t>17G110998-1</t>
  </si>
  <si>
    <t>BEAM ASSY, HOIST - CREW DOOR                                (NSN 3940-01-445-7240)</t>
  </si>
  <si>
    <t>B-1-C</t>
  </si>
  <si>
    <t>TNT 119</t>
  </si>
  <si>
    <t>17G240211-1</t>
  </si>
  <si>
    <t>SLING, HOIST APU (NSN 3940-01-418-5472)</t>
  </si>
  <si>
    <t>LGS 6</t>
  </si>
  <si>
    <t>TNT 122</t>
  </si>
  <si>
    <t>17G230030-1</t>
  </si>
  <si>
    <t>230-06</t>
  </si>
  <si>
    <t>ADAPTER SET, ENGINE NACELLE SLING                        (NSN 1730-01-288-1621)</t>
  </si>
  <si>
    <t>ANNUAL INSP C/O 23 JUN 21, DUE 23 JUN 22</t>
  </si>
  <si>
    <t>TNT 654</t>
  </si>
  <si>
    <t>230-09</t>
  </si>
  <si>
    <t>G-3-B</t>
  </si>
  <si>
    <t>TNT 167</t>
  </si>
  <si>
    <t>17G110123-1</t>
  </si>
  <si>
    <t>BEAM, HOISTING AIRCRAFT COMPONENT                                 (NSN 3940-01-289-8573)</t>
  </si>
  <si>
    <t>TNT 252</t>
  </si>
  <si>
    <t>17G110482-503</t>
  </si>
  <si>
    <t>0003</t>
  </si>
  <si>
    <t>ADAPTER SET, HOISTING-FLAP ASSY                                                                 (NSN 1730-01-497-0308)</t>
  </si>
  <si>
    <t>17G110119-1</t>
  </si>
  <si>
    <t>BEAM, HOISTING CONTROL SURFACE                                           (NSN 3940-01-293-1269)</t>
  </si>
  <si>
    <t>17G760001-1</t>
  </si>
  <si>
    <t>1WKNO-15</t>
  </si>
  <si>
    <t>FIXTURE, AIRCRAFT MAINTENANCE (SLTA)           (NSN 4920-01-504-8127)</t>
  </si>
  <si>
    <t>TNT 343</t>
  </si>
  <si>
    <t>17G230268-501</t>
  </si>
  <si>
    <t>00120</t>
  </si>
  <si>
    <t>SUPPORT, AIRCRAFT ENGINE NACELLE, RH                  (NSN 1730-01-435-8095)</t>
  </si>
  <si>
    <t>C-2-C</t>
  </si>
  <si>
    <t>TNT 344</t>
  </si>
  <si>
    <t>000222</t>
  </si>
  <si>
    <t>TNT 342</t>
  </si>
  <si>
    <t>17G230268-1</t>
  </si>
  <si>
    <t>0221</t>
  </si>
  <si>
    <t>SUPPORT, AIRCRAFT ENGINE NACELLE, LH                      (NSN 1730-01-435-8096)</t>
  </si>
  <si>
    <t>TNT 345</t>
  </si>
  <si>
    <t>F</t>
  </si>
  <si>
    <t>667690002</t>
  </si>
  <si>
    <t>INSTALLATION FIXTURE, STAB STRUT                               (NSN 1730-01-542-4210)</t>
  </si>
  <si>
    <t>TNT 731</t>
  </si>
  <si>
    <t>SDS0514</t>
  </si>
  <si>
    <t>BEAM , HOISTING (NSN 3940-01-445-7240)</t>
  </si>
  <si>
    <t>B-3-C</t>
  </si>
  <si>
    <t>TNT 698</t>
  </si>
  <si>
    <t>9875200027</t>
  </si>
  <si>
    <t>SLING,HOIST APU (NSN 3940-01-418-5472)</t>
  </si>
  <si>
    <t>DUE:  23 FEB 23</t>
  </si>
  <si>
    <t>TNT 614</t>
  </si>
  <si>
    <t>17G230266-501</t>
  </si>
  <si>
    <t>LIFTING BEAM - INSTALLATION FAN REVERSERS (NSN 3940-01-499-6980)</t>
  </si>
  <si>
    <t>TNT 655</t>
  </si>
  <si>
    <t>17G230266-502</t>
  </si>
  <si>
    <t>IN BOX AT SPRUNG SHELTER</t>
  </si>
  <si>
    <t>JIB CRANE</t>
  </si>
  <si>
    <t>Retuned to supply and demilitarized 10 Jun 15</t>
  </si>
  <si>
    <t>Lifting Accessories Serviceable %</t>
  </si>
  <si>
    <t xml:space="preserve">Lifting Accessories Min Serviceable % </t>
  </si>
  <si>
    <r>
      <t xml:space="preserve">RED CROSS </t>
    </r>
    <r>
      <rPr>
        <b/>
        <sz val="12"/>
        <color indexed="10"/>
        <rFont val="Aptos"/>
        <family val="2"/>
      </rPr>
      <t>+</t>
    </r>
    <r>
      <rPr>
        <b/>
        <sz val="12"/>
        <color indexed="8"/>
        <rFont val="Aptos"/>
        <family val="2"/>
      </rPr>
      <t xml:space="preserve"> (7 HGR) </t>
    </r>
  </si>
  <si>
    <t>ACS</t>
  </si>
  <si>
    <t>ISU 90 (GREEN)</t>
  </si>
  <si>
    <t>ISU 90 EO (GREEN)</t>
  </si>
  <si>
    <t>LSAS (litter Station Augmentation Set)</t>
  </si>
  <si>
    <t>NSN: 8145-01-465-3621</t>
  </si>
  <si>
    <t>NSN: “N/A”</t>
  </si>
  <si>
    <t>PART#: 56102000</t>
  </si>
  <si>
    <t>PART#: 56136756</t>
  </si>
  <si>
    <t>SER#: 71696</t>
  </si>
  <si>
    <t>SER#: 65949</t>
  </si>
  <si>
    <t>SER#: 71694</t>
  </si>
  <si>
    <t>SER#: 65948</t>
  </si>
  <si>
    <t>TC deployed</t>
  </si>
  <si>
    <t>Deploy Isu # 1 Much of all stuff from TC, Damaged base</t>
  </si>
  <si>
    <t>SER#: 69056</t>
  </si>
  <si>
    <t>SER#: 69059</t>
  </si>
  <si>
    <t>HSC washing Equipment</t>
  </si>
  <si>
    <t>SER#: 69058</t>
  </si>
  <si>
    <t>ISU 90 EO (TAN) Deploy</t>
  </si>
  <si>
    <t>Not sure what is inside</t>
  </si>
  <si>
    <t>NSN: 8145-01-465-4204</t>
  </si>
  <si>
    <t>PART#: 56229000</t>
  </si>
  <si>
    <t>3 locks and no key</t>
  </si>
  <si>
    <t>SER#: 68070</t>
  </si>
  <si>
    <t>empty</t>
  </si>
  <si>
    <t>SER#: 67975</t>
  </si>
  <si>
    <t>6 Hangar AMSE</t>
  </si>
  <si>
    <t>1 Hangar AMSE</t>
  </si>
  <si>
    <t>Critical AMSE</t>
  </si>
  <si>
    <t>CRANE, FLOOR, PORTABLE (NSN 3950-01-443-2553)</t>
  </si>
  <si>
    <t>SELF-GENERATING NITROGEN SERVICE CART (SGNSC) (NSN 3655-01-463-3338)</t>
  </si>
  <si>
    <t>TNT 045</t>
  </si>
  <si>
    <t>HEATER, DUCT TYPE, PORTABLE, TRAILER MOUNTED, HDU - 13/M, CLASS 2 (NSN 4520-01-310-0690)</t>
  </si>
  <si>
    <t>TNT 581</t>
  </si>
  <si>
    <t xml:space="preserve">CART, NITROGEN (2x Portable bottles on cart) (NSN 3655-21-898-2948)         </t>
  </si>
  <si>
    <t>TNT 046</t>
  </si>
  <si>
    <t>TANK AND PUMP UNIT WITH IDG HOSES (NSN 4930-00-620-2406)</t>
  </si>
  <si>
    <t>SUPPORT STRUCTURAL COMPONENT - MLG / NLG (NSN 1730-01-316-3125)</t>
  </si>
  <si>
    <t>TNT 049A</t>
  </si>
  <si>
    <t>JACK / RAT ADAPTER (NSN 4910-01-491-9783)</t>
  </si>
  <si>
    <t>FIXTURE, HOIST LANDING GEAR TIRES AND WHEEL (NSN 4920-01-524-6974)</t>
  </si>
  <si>
    <t>TNT 699</t>
  </si>
  <si>
    <t>FIXTURE, INSTALLATION AND REMOVAL - APU (NSN 1730-01-512-7155)</t>
  </si>
  <si>
    <t>FIXTURE, AIRCRAFT MAINTENANCE (SLTA) (NSN 4920-01-504-8127)</t>
  </si>
  <si>
    <t>CONTINUOUS AIR START UNIT (NSN 2815-01-398-3104)</t>
  </si>
  <si>
    <t>TNT 348</t>
  </si>
  <si>
    <t>FUEL BOWSER (NSN 2330-01-507-3883)</t>
  </si>
  <si>
    <t>HYDRAULIC TEST STAND, DIESEL DRIVEN DUAL SYSTEM (NSN 4920-01-279-4762)</t>
  </si>
  <si>
    <t>FLOODLIGHT TRAILER (NSN 6230-01-551-2664)</t>
  </si>
  <si>
    <t>PUMPING UNIT, HYDRAULIC DIESEL ENGINE DRIVEN (JACKING MANIFOLD) (NSN 4320-01-399-1758)</t>
  </si>
  <si>
    <t>HOLDER, MAINTENANCE - FAN THRUST REVERSER DUCT (NSN 1730-01-301-6240)</t>
  </si>
  <si>
    <t>PUMPING UNIT, HYDRAULIC, ELECTRICAL OPERATED (JACKING MANIFOLD) (NSN 4320-01-583-0183)</t>
  </si>
  <si>
    <t>TNT 485</t>
  </si>
  <si>
    <t>MC-7 AIR COMPRESSOR (NSN 4310-01-513-7314)</t>
  </si>
  <si>
    <t>TRUCK, LIFT, NOSE LANDING GEAR (NSN 1730-01-291-9248)</t>
  </si>
  <si>
    <t>TNT 494</t>
  </si>
  <si>
    <t>HEATER, DUCT TYPE, PORTABLE (USAF TYPE) (NSN 4520-01-482-8571)</t>
  </si>
  <si>
    <t xml:space="preserve"> TOW BAR (NSN 1730-01-534-6421)</t>
  </si>
  <si>
    <t>JACK, AIRCRAFT, LANDING GEAR (AXLE JACK) (NSN 1730-00-913-7292)</t>
  </si>
  <si>
    <t>TNT 507</t>
  </si>
  <si>
    <t>RHINO JACK (NSN 4920-01-569-1181)</t>
  </si>
  <si>
    <t>JACK, HYDRAULIC, TRIPOD, 60 TON (NSN 1730-00-997-7130)</t>
  </si>
  <si>
    <t>TNT 850</t>
  </si>
  <si>
    <t>VACUUM CLEANER, PNEUMATIC, FUEL (NSN 7910-01-198-3913)</t>
  </si>
  <si>
    <t>TNT 609</t>
  </si>
  <si>
    <t>GENERATOR SET, DIESEL ENGINE,  TRAILER MOUNTED (NSN 6115-01-565-9053)</t>
  </si>
  <si>
    <t>TNT 866</t>
  </si>
  <si>
    <t>MLG SHOCK HOIST (NSN 1730-503-4171BA)</t>
  </si>
  <si>
    <t>NLG WHEEL WELL PLATFORM (NSN 1730-01-503-4171)</t>
  </si>
  <si>
    <t>TNT 882</t>
  </si>
  <si>
    <t>BLAST CLEANING MACHINE (NSN 4940-01-161-5903)</t>
  </si>
  <si>
    <t>TNT 883</t>
  </si>
  <si>
    <t>TNT 606</t>
  </si>
  <si>
    <t>TNT 607</t>
  </si>
  <si>
    <t>MLG INBD Door Removal Handling Fixture (NSN 1730-01-520-4393)</t>
  </si>
  <si>
    <t>TNT 608</t>
  </si>
  <si>
    <t>R2D2  PUMP UNIT (NSN 4920-20-002-7871</t>
  </si>
  <si>
    <t>LIFE RAFT R / I  CRANE (SLA15 GENIE LIFT CRANE) (NSN 1730-01-535-2475)</t>
  </si>
  <si>
    <t>R2D2  PUMP UNIT (NSN 4920-20-002-7872</t>
  </si>
  <si>
    <t>TNT 626</t>
  </si>
  <si>
    <t>SPARE TIRE TRAILERS (NSN 1740-01-507-3447)</t>
  </si>
  <si>
    <t>IDG Hand Pump 8L (NSN 4930-01-408-6114)</t>
  </si>
  <si>
    <t>TNT 825</t>
  </si>
  <si>
    <t>Compressor Unit, Rotary (4310-014-577-3040)</t>
  </si>
  <si>
    <t>Not Inspected by AMSE</t>
  </si>
  <si>
    <t>ADAPTER-HOIST RAMP ACTUATING CYLINDER (NSN 1730-01-306-5542)</t>
  </si>
  <si>
    <t>INSTALLATION FIXTURE, STAB STRUT (NSN 1730-01-542-4210)</t>
  </si>
  <si>
    <t>STRAP, SUPPORT - RAM AIR INLET (NSN 1730-01-350-1153)</t>
  </si>
  <si>
    <t>SLING, BEAM - MLG SHOCK STRUT (NSN 1730-01-267-0618 )</t>
  </si>
  <si>
    <t>R2D2  PUMP UNIT (NSN 4920-20-002-7871)</t>
  </si>
  <si>
    <t>FIXTURE, INSTALL/ REMOVE - A/C APU (NSN 4920-01-479-3516)</t>
  </si>
  <si>
    <t>WIRE ROPE ASSY (NSN 4010-01-313-8691)</t>
  </si>
  <si>
    <t>HOIST, FISHPOLE - A/C LINE REPLACEABLE UNITS (NSN 1730-01-436-9399)</t>
  </si>
  <si>
    <t>IDG Hand pump 20L (NSN 4930-00-408-6115)</t>
  </si>
  <si>
    <t>FIXTURE, INSTALL/ REMOVE A/C IDG (NSN 4920-01-479-3067</t>
  </si>
  <si>
    <t>ADAPTER ASSY, HOIST - CREW DOOR (NSN 3940-01-441-4934)</t>
  </si>
  <si>
    <t>FIXTURE, HOLDING - TROOP DOOR (NSN 4920-01-419-6747)</t>
  </si>
  <si>
    <t>HOIST, CHAIN - AIR POWERED (NSN 3950-01-163-9955)</t>
  </si>
  <si>
    <t>SLING, MULTI-LEG (NSN 3940-01-251-5979)</t>
  </si>
  <si>
    <t>SLING, A/C MAINTENANCE - UARRSI (NSN 1730-00-553-3202)</t>
  </si>
  <si>
    <t>Lifting Accessories</t>
  </si>
  <si>
    <t>ADAPTER, HOISTING - AFT RUDDER SLING (NSN 4920-01-290-2911)</t>
  </si>
  <si>
    <t>FIXTURE, INSTALL/ REMOVE A/C IDG (NSN 4920-01-479-3067)</t>
  </si>
  <si>
    <t>ADAPTER, HOISTING FWD RUDDER SLING (NSN 3940-01-302-4994)</t>
  </si>
  <si>
    <t>ADAPTER SET, ENGINE NACELLE SLING (NSN 1730-01-288-1621)</t>
  </si>
  <si>
    <t>SUPPORT, AIRCRAFT ENGINE NACELLE, RH (NSN 1730-01-435-8095)</t>
  </si>
  <si>
    <t>SUPPORT, AIRCRAFT ENGINE NACELLE, LH (NSN 1730-01-435-8096)</t>
  </si>
  <si>
    <t>HOIST, AXLE BEAM ASSY - MLG (NSN 1730-01-558-1817)</t>
  </si>
  <si>
    <t>BEAM, HOISTING - OBIGGS 2 - ASM (NSN 3940-01-525-9602)</t>
  </si>
  <si>
    <t>FIXTURE - RAT STOWING (NSN 4920-01-542-4211)</t>
  </si>
  <si>
    <t>BEAM ASSY, HOIST - CREW DOOR (NSN 3940-01-445-7240)</t>
  </si>
  <si>
    <t>BEAM, HOISTING AIRCRAFT COMPONENT (NSN 3940-01-289-8573)</t>
  </si>
  <si>
    <t>ADAPTER SET, HOISTING-FLAP ASSY (NSN 1730-01-497-0308)</t>
  </si>
  <si>
    <t>TNT 253</t>
  </si>
  <si>
    <t>BEAM, HOISTING CONTROL SURFACE (NSN 3940-01-293-1269)</t>
  </si>
  <si>
    <t>BEAM, HOISTING (NSN 3940-01-445-7240)</t>
  </si>
  <si>
    <t>429 (T) SQN SMALL ENGINE</t>
  </si>
  <si>
    <t>MODEL #</t>
  </si>
  <si>
    <t>SERIAL #</t>
  </si>
  <si>
    <t>Maint Due</t>
  </si>
  <si>
    <t>ARIENS</t>
  </si>
  <si>
    <t>SNOWBLOWER</t>
  </si>
  <si>
    <t>21-AAA-9557</t>
  </si>
  <si>
    <t>926071</t>
  </si>
  <si>
    <t>000472</t>
  </si>
  <si>
    <t>post use inspection completed   RTU  07-may-2026</t>
  </si>
  <si>
    <t>47 NS</t>
  </si>
  <si>
    <t>000559</t>
  </si>
  <si>
    <t>000560</t>
  </si>
  <si>
    <t>Craftsman</t>
  </si>
  <si>
    <t>20-AOB-2775</t>
  </si>
  <si>
    <t>944.527393</t>
  </si>
  <si>
    <t>011608M 002721</t>
  </si>
  <si>
    <t>John Deere</t>
  </si>
  <si>
    <t>Snowblower</t>
  </si>
  <si>
    <t>LMXX4708</t>
  </si>
  <si>
    <t>post use inspection 05-05-2026</t>
  </si>
  <si>
    <t>Yard Works</t>
  </si>
  <si>
    <t>20-003-7590</t>
  </si>
  <si>
    <t>31AH65KH515</t>
  </si>
  <si>
    <t>1H139B86055</t>
  </si>
  <si>
    <t>UPDATED 4 OCT 21</t>
  </si>
  <si>
    <t>COMPRESSOR</t>
  </si>
  <si>
    <t>Generac</t>
  </si>
  <si>
    <t>GENERATOR</t>
  </si>
  <si>
    <t xml:space="preserve">NOT CONFIRMED IN SLOC (SUPPLY LOCATION) </t>
  </si>
  <si>
    <t>SNOW BEAST</t>
  </si>
  <si>
    <r>
      <rPr>
        <sz val="10"/>
        <color rgb="FF000000"/>
        <rFont val="Arial"/>
      </rPr>
      <t xml:space="preserve">  &gt;BER, parts not available within North America, 05-05-2026, functional when this item breaks,  TEME will not fix, </t>
    </r>
    <r>
      <rPr>
        <sz val="10"/>
        <color rgb="FFFF0000"/>
        <rFont val="Arial"/>
      </rPr>
      <t xml:space="preserve"> BER</t>
    </r>
  </si>
  <si>
    <t xml:space="preserve">ATGL </t>
  </si>
  <si>
    <t>ETS</t>
  </si>
  <si>
    <t>ATGL ITEM INSPECTION INTERVAL</t>
  </si>
  <si>
    <t>RCAF-001</t>
  </si>
  <si>
    <t>AECMS, AMAT</t>
  </si>
  <si>
    <t>1000 Hrs</t>
  </si>
  <si>
    <t>Coffee Maker - Complete cleaning</t>
  </si>
  <si>
    <t>TO 13B6-4-1</t>
  </si>
  <si>
    <t>RCAF-002</t>
  </si>
  <si>
    <t>ATGL and pallet signidficant damages, Waiting on LCMM descisions regarding rebuild vs scrap</t>
  </si>
  <si>
    <t>Oven - Check temp calibration</t>
  </si>
  <si>
    <t>TO 13B1-19-1</t>
  </si>
  <si>
    <t>RCAF-003</t>
  </si>
  <si>
    <t>Deployed with 705</t>
  </si>
  <si>
    <t>Refrigerator - Check for proper cooling</t>
  </si>
  <si>
    <t>TO 13B5-9-1</t>
  </si>
  <si>
    <t>RCAF-004</t>
  </si>
  <si>
    <t>Deployed with 704</t>
  </si>
  <si>
    <t>Toilet Tank Assembly - Steam clean unit and perform operational check out</t>
  </si>
  <si>
    <t>Chapter 5</t>
  </si>
  <si>
    <t xml:space="preserve">Periodic </t>
  </si>
  <si>
    <t>13B4-4-6WC-1</t>
  </si>
  <si>
    <t>Notes and Information</t>
  </si>
  <si>
    <t>Hourly/calendar inspection tracking tables X 4 and ATGL status table to be copied to SAMEO support equip readiness slides only.</t>
  </si>
  <si>
    <r>
      <t>Yellow</t>
    </r>
    <r>
      <rPr>
        <sz val="10"/>
        <rFont val="Arial"/>
        <family val="2"/>
      </rPr>
      <t xml:space="preserve"> months remaining cell indicates 1 month remaining until applicable inspection due.</t>
    </r>
  </si>
  <si>
    <t>As required</t>
  </si>
  <si>
    <t>Preflight and Post flight</t>
  </si>
  <si>
    <r>
      <t>RED</t>
    </r>
    <r>
      <rPr>
        <sz val="10"/>
        <rFont val="Arial"/>
        <family val="2"/>
      </rPr>
      <t xml:space="preserve"> months remaining cell indicates 0 months remaining until applicable inspection due.</t>
    </r>
  </si>
  <si>
    <r>
      <t>RED</t>
    </r>
    <r>
      <rPr>
        <sz val="10"/>
        <rFont val="Arial"/>
      </rPr>
      <t xml:space="preserve"> months remaining cell indicates</t>
    </r>
    <r>
      <rPr>
        <b/>
        <sz val="10"/>
        <rFont val="Arial"/>
        <family val="2"/>
      </rPr>
      <t xml:space="preserve"> </t>
    </r>
    <r>
      <rPr>
        <b/>
        <u/>
        <sz val="10"/>
        <rFont val="Arial"/>
        <family val="2"/>
      </rPr>
      <t>#NUM!</t>
    </r>
    <r>
      <rPr>
        <sz val="10"/>
        <rFont val="Arial"/>
      </rPr>
      <t xml:space="preserve"> when applicable inspection is past due.</t>
    </r>
  </si>
  <si>
    <t>Annually or as required</t>
  </si>
  <si>
    <t>Potable water Filter - Clean or replace</t>
  </si>
  <si>
    <t>Information on deployed ATGL obtained from latest deployment report.</t>
  </si>
  <si>
    <t>10 Years</t>
  </si>
  <si>
    <t>Emergency Oxygen System Generator</t>
  </si>
  <si>
    <t>Waiver granted to ALL units to delay 5 Year inspection, not to exceed next contract or Date November 2023</t>
  </si>
  <si>
    <t xml:space="preserve">                                                                    ATGL   7360-01-328-5127 </t>
  </si>
  <si>
    <t>Air Transportable Galley &amp; Lavatory - Serial Number RCAF-001 (CF  001)</t>
  </si>
  <si>
    <t>ATGL Serial Number RCAF-001</t>
  </si>
  <si>
    <t>Hourly Inspection Tracker.</t>
  </si>
  <si>
    <t>Current Hrs</t>
  </si>
  <si>
    <t>Inspection Type</t>
  </si>
  <si>
    <t>Days Remaining</t>
  </si>
  <si>
    <t>1 Year</t>
  </si>
  <si>
    <t>Hours When Due</t>
  </si>
  <si>
    <t>Hours Remaining</t>
  </si>
  <si>
    <t>Note:</t>
  </si>
  <si>
    <t>300 Hr</t>
  </si>
  <si>
    <t>1000 Hr</t>
  </si>
  <si>
    <t>2500 Hr</t>
  </si>
  <si>
    <t>Calendar Inspection Tracker. Enter Inspection Due Date As MMM-YYYY</t>
  </si>
  <si>
    <t>In Service Date</t>
  </si>
  <si>
    <t>Inspection Date</t>
  </si>
  <si>
    <t>Months Remaining</t>
  </si>
  <si>
    <r>
      <t>Note:</t>
    </r>
    <r>
      <rPr>
        <sz val="10"/>
        <rFont val="Arial"/>
        <family val="2"/>
      </rPr>
      <t xml:space="preserve"> Number of months remaining and conditional formatting calculated on Inspection date (due 1st day of month shown)  - Current Date. </t>
    </r>
  </si>
  <si>
    <t>Air Transportable Galley &amp; Lavatory - Serial Number RCAF-002 (CF 002)</t>
  </si>
  <si>
    <t>ATGL Serial Number RCAF-002</t>
  </si>
  <si>
    <r>
      <t>Note:</t>
    </r>
    <r>
      <rPr>
        <sz val="10"/>
        <rFont val="Arial"/>
        <family val="2"/>
      </rPr>
      <t xml:space="preserve"> Insp schedule to be updated and entered once unit is repaired and returned to service</t>
    </r>
  </si>
  <si>
    <t>Calendar Inspection Tracker. Enter Inspection Due Date as MMM-YYYY</t>
  </si>
  <si>
    <r>
      <t xml:space="preserve">Note: </t>
    </r>
    <r>
      <rPr>
        <sz val="10"/>
        <rFont val="Arial"/>
        <family val="2"/>
      </rPr>
      <t>Number of months remaining and conditional formatting calculated on Inspection date (due 1st day of month shown)  - Current Date.</t>
    </r>
    <r>
      <rPr>
        <b/>
        <u/>
        <sz val="10"/>
        <rFont val="Arial"/>
        <family val="2"/>
      </rPr>
      <t xml:space="preserve"> </t>
    </r>
  </si>
  <si>
    <t>Air Transportable Galley &amp; Lavatory - Serial Number RCAF-003  (AF 147)</t>
  </si>
  <si>
    <t>ATGL Serial Number RCAF-003  (AF 147)</t>
  </si>
  <si>
    <r>
      <t>Note: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Refurbished unit. Hourly inspection schedule and calendar inspection reset to 0 Hrs / 0 months effective 4870.4 ATGL Hours.</t>
    </r>
  </si>
  <si>
    <t>450 Hr</t>
  </si>
  <si>
    <t>5000 Hr</t>
  </si>
  <si>
    <t>Air Transportable Galley &amp; Lavatory - Serial Number RCAF-004  (AF 163)</t>
  </si>
  <si>
    <r>
      <t>Note: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Refurbished unit. Hourly inspection schedule and calendar inspection reset to 0 Hrs / 0 months effective 3272.1 ATGL Hours.</t>
    </r>
  </si>
  <si>
    <t>ATGL Serial Number RCAF-004  (AF 163)</t>
  </si>
  <si>
    <t>Date</t>
  </si>
  <si>
    <t>nitrogen_cart_svc</t>
  </si>
  <si>
    <t>nitrogen_cart_uns</t>
  </si>
  <si>
    <t>nitrogen_cart_cal</t>
  </si>
  <si>
    <t>nitrogen_cart_dep</t>
  </si>
  <si>
    <t>air_start_svc</t>
  </si>
  <si>
    <t>air_start_uns</t>
  </si>
  <si>
    <t>air_start_cal</t>
  </si>
  <si>
    <t>air_start_dep</t>
  </si>
  <si>
    <t>tow_bar_svc</t>
  </si>
  <si>
    <t>tow_bar_uns</t>
  </si>
  <si>
    <t>tow_bar_cal</t>
  </si>
  <si>
    <t>tow_bar_dep</t>
  </si>
  <si>
    <t>nlg_jack_svc</t>
  </si>
  <si>
    <t>nlg_jack_uns</t>
  </si>
  <si>
    <t>nlg_jack_cal</t>
  </si>
  <si>
    <t>nlg_jack_dep</t>
  </si>
  <si>
    <t>gpu_svc</t>
  </si>
  <si>
    <t>gpu_uns</t>
  </si>
  <si>
    <t>gpu_cal</t>
  </si>
  <si>
    <t>gpu_dep</t>
  </si>
  <si>
    <t>jack_60t_svc</t>
  </si>
  <si>
    <t>jack_60t_uns</t>
  </si>
  <si>
    <t>jack_60t_cal</t>
  </si>
  <si>
    <t>jack_60t_dep</t>
  </si>
  <si>
    <t>jack_console_svc</t>
  </si>
  <si>
    <t>jack_console_uns</t>
  </si>
  <si>
    <t>jack_console_cal</t>
  </si>
  <si>
    <t>jack_console_dep</t>
  </si>
  <si>
    <t>floodlight_svc</t>
  </si>
  <si>
    <t>floodlight_uns</t>
  </si>
  <si>
    <t>floodlight_cal</t>
  </si>
  <si>
    <t>floodlight_dep</t>
  </si>
  <si>
    <t>heater_svc</t>
  </si>
  <si>
    <t>heater_uns</t>
  </si>
  <si>
    <t>heater_cal</t>
  </si>
  <si>
    <t>heater_dep</t>
  </si>
  <si>
    <t>glesco_svc</t>
  </si>
  <si>
    <t>glesco_uns</t>
  </si>
  <si>
    <t>glesco_cal</t>
  </si>
  <si>
    <t>glesco_dep</t>
  </si>
  <si>
    <t>lox_svc</t>
  </si>
  <si>
    <t>lox_uns</t>
  </si>
  <si>
    <t>lox_cal</t>
  </si>
  <si>
    <t>lox_dep</t>
  </si>
  <si>
    <t>heavy_svc</t>
  </si>
  <si>
    <t>heavy_uns</t>
  </si>
  <si>
    <t>heavy_cal</t>
  </si>
  <si>
    <t>heavy_dep</t>
  </si>
  <si>
    <t>mule_svc</t>
  </si>
  <si>
    <t>mule_uns</t>
  </si>
  <si>
    <t>mule_cal</t>
  </si>
  <si>
    <t>mule_dep</t>
  </si>
  <si>
    <t>P/UP (L)</t>
  </si>
  <si>
    <t>Q/C  P/UP  4X2 (L)</t>
  </si>
  <si>
    <t>S/C   C1500 P/UP (L)</t>
  </si>
  <si>
    <t>Trucks 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</si>
</sst>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-&quot;$&quot;* #,##0.00_-;\-&quot;$&quot;* #,##0.00_-;_-&quot;$&quot;* &quot;-&quot;??_-;_-@_-"/>
    <numFmt numFmtId="165" formatCode="[$-1009]d/mmm/yy;@"/>
    <numFmt numFmtId="166" formatCode="0.0%"/>
    <numFmt numFmtId="167" formatCode="0.0_ ;[Red]\-0.0\ "/>
    <numFmt numFmtId="168" formatCode="[$-F800]dddd\,\ mmmm\ dd\,\ yyyy"/>
    <numFmt numFmtId="169" formatCode="[$-1009]mmmm\ d\,\ yyyy;@"/>
  </numFmts>
  <fonts count="129" x14ac:knownFonts="1">
    <font>
      <sz val="10"/>
      <name val="Arial"/>
    </font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sz val="11"/>
      <color indexed="63"/>
      <name val="Arial"/>
      <family val="2"/>
    </font>
    <font>
      <sz val="24"/>
      <name val="Arial"/>
      <family val="2"/>
    </font>
    <font>
      <sz val="18"/>
      <name val="Arial"/>
      <family val="2"/>
    </font>
    <font>
      <sz val="22"/>
      <name val="Arial"/>
      <family val="2"/>
    </font>
    <font>
      <b/>
      <sz val="16"/>
      <color indexed="10"/>
      <name val="Arial"/>
      <family val="2"/>
    </font>
    <font>
      <sz val="10"/>
      <color indexed="9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22"/>
      <name val="Arial"/>
      <family val="2"/>
    </font>
    <font>
      <sz val="14"/>
      <name val="Calibri"/>
      <family val="2"/>
    </font>
    <font>
      <sz val="14"/>
      <name val="Arial"/>
      <family val="2"/>
    </font>
    <font>
      <sz val="16"/>
      <name val="Arial"/>
      <family val="2"/>
    </font>
    <font>
      <sz val="16"/>
      <name val="Calibri"/>
      <family val="2"/>
    </font>
    <font>
      <sz val="9"/>
      <name val="Arial"/>
      <family val="2"/>
    </font>
    <font>
      <sz val="8"/>
      <name val="Arial"/>
      <family val="2"/>
    </font>
    <font>
      <sz val="28"/>
      <name val="Arial"/>
      <family val="2"/>
    </font>
    <font>
      <b/>
      <sz val="14"/>
      <color indexed="17"/>
      <name val="Calibri"/>
      <family val="2"/>
    </font>
    <font>
      <sz val="14"/>
      <color indexed="8"/>
      <name val="Arial"/>
      <family val="2"/>
    </font>
    <font>
      <sz val="11"/>
      <name val="Aptos"/>
      <family val="2"/>
    </font>
    <font>
      <sz val="20"/>
      <name val="Arial"/>
      <family val="2"/>
    </font>
    <font>
      <b/>
      <sz val="14"/>
      <name val="Arial"/>
      <family val="2"/>
    </font>
    <font>
      <b/>
      <sz val="28"/>
      <name val="Arial"/>
      <family val="2"/>
    </font>
    <font>
      <b/>
      <sz val="10"/>
      <color indexed="53"/>
      <name val="Arial"/>
      <family val="2"/>
    </font>
    <font>
      <sz val="15"/>
      <name val="Arial"/>
      <family val="2"/>
    </font>
    <font>
      <b/>
      <sz val="15"/>
      <name val="Arial"/>
      <family val="2"/>
    </font>
    <font>
      <sz val="20.3"/>
      <name val="Arial"/>
      <family val="2"/>
    </font>
    <font>
      <b/>
      <sz val="75"/>
      <name val="Arial"/>
      <family val="2"/>
    </font>
    <font>
      <b/>
      <u/>
      <sz val="8"/>
      <name val="Arial"/>
      <family val="2"/>
    </font>
    <font>
      <b/>
      <sz val="12"/>
      <color indexed="10"/>
      <name val="Aptos"/>
      <family val="2"/>
    </font>
    <font>
      <b/>
      <sz val="12"/>
      <color indexed="8"/>
      <name val="Aptos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2"/>
      <name val="Calibri"/>
      <family val="2"/>
      <scheme val="minor"/>
    </font>
    <font>
      <sz val="11"/>
      <color rgb="FF1F497D"/>
      <name val="Calibri"/>
      <family val="2"/>
    </font>
    <font>
      <sz val="14"/>
      <name val="Calibri"/>
      <family val="2"/>
      <scheme val="minor"/>
    </font>
    <font>
      <sz val="14"/>
      <color theme="1"/>
      <name val="Arial"/>
      <family val="2"/>
    </font>
    <font>
      <sz val="14"/>
      <color rgb="FF10263C"/>
      <name val="Calibri"/>
      <family val="2"/>
      <scheme val="minor"/>
    </font>
    <font>
      <sz val="11"/>
      <name val="Calibri"/>
      <family val="2"/>
      <scheme val="minor"/>
    </font>
    <font>
      <sz val="14"/>
      <color rgb="FF9C65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1"/>
      <name val="Arial"/>
      <family val="2"/>
    </font>
    <font>
      <b/>
      <sz val="28"/>
      <color theme="1"/>
      <name val="Arial"/>
      <family val="2"/>
    </font>
    <font>
      <sz val="8"/>
      <color theme="1"/>
      <name val="Arial"/>
      <family val="2"/>
    </font>
    <font>
      <sz val="14"/>
      <color rgb="FF006100"/>
      <name val="Arial"/>
      <family val="2"/>
    </font>
    <font>
      <b/>
      <sz val="12"/>
      <color theme="0"/>
      <name val="Aharoni"/>
      <charset val="177"/>
    </font>
    <font>
      <b/>
      <sz val="15"/>
      <color theme="0"/>
      <name val="Aharoni"/>
      <charset val="177"/>
    </font>
    <font>
      <b/>
      <sz val="19"/>
      <color theme="0"/>
      <name val="Aharoni"/>
      <charset val="177"/>
    </font>
    <font>
      <b/>
      <sz val="10"/>
      <color rgb="FF0070C0"/>
      <name val="Arial"/>
      <family val="2"/>
    </font>
    <font>
      <sz val="15"/>
      <color rgb="FF9C0006"/>
      <name val="Calibri"/>
      <family val="2"/>
      <scheme val="minor"/>
    </font>
    <font>
      <b/>
      <sz val="15"/>
      <color theme="0"/>
      <name val="Arial"/>
      <family val="2"/>
    </font>
    <font>
      <b/>
      <sz val="15"/>
      <color theme="0"/>
      <name val="Calibri"/>
      <family val="2"/>
      <scheme val="minor"/>
    </font>
    <font>
      <b/>
      <sz val="18"/>
      <color rgb="FF9C0006"/>
      <name val="Calibri"/>
      <family val="2"/>
      <scheme val="minor"/>
    </font>
    <font>
      <sz val="12"/>
      <color theme="1"/>
      <name val="Aptos"/>
      <family val="2"/>
    </font>
    <font>
      <b/>
      <sz val="12"/>
      <color theme="1"/>
      <name val="Aptos"/>
      <family val="2"/>
    </font>
    <font>
      <b/>
      <sz val="10"/>
      <color rgb="FFFF0000"/>
      <name val="Arial"/>
      <family val="2"/>
    </font>
    <font>
      <sz val="16"/>
      <name val="Calibri"/>
      <family val="2"/>
      <scheme val="minor"/>
    </font>
    <font>
      <sz val="10"/>
      <name val="Calibri"/>
      <family val="2"/>
      <scheme val="minor"/>
    </font>
    <font>
      <sz val="14"/>
      <color indexed="8"/>
      <name val="Calibri"/>
      <family val="2"/>
      <scheme val="minor"/>
    </font>
    <font>
      <b/>
      <sz val="55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5"/>
      <color rgb="FFFF0000"/>
      <name val="Arial"/>
      <family val="2"/>
    </font>
    <font>
      <sz val="15"/>
      <color theme="1"/>
      <name val="Arial"/>
      <family val="2"/>
    </font>
    <font>
      <sz val="10"/>
      <color rgb="FF9C0006"/>
      <name val="Calibri"/>
      <family val="2"/>
      <scheme val="minor"/>
    </font>
    <font>
      <b/>
      <sz val="25"/>
      <color rgb="FF0070C0"/>
      <name val="Arial"/>
      <family val="2"/>
    </font>
    <font>
      <b/>
      <sz val="15"/>
      <color rgb="FF3F3F76"/>
      <name val="Calibri"/>
      <family val="2"/>
      <scheme val="minor"/>
    </font>
    <font>
      <b/>
      <sz val="15"/>
      <color rgb="FF9C0006"/>
      <name val="Calibri"/>
      <family val="2"/>
      <scheme val="minor"/>
    </font>
    <font>
      <b/>
      <sz val="15"/>
      <name val="Calibri"/>
      <family val="2"/>
      <scheme val="minor"/>
    </font>
    <font>
      <sz val="12"/>
      <color rgb="FF9C0006"/>
      <name val="Calibri"/>
      <family val="2"/>
      <scheme val="minor"/>
    </font>
    <font>
      <sz val="14"/>
      <color rgb="FF000000"/>
      <name val="Arial"/>
      <charset val="1"/>
    </font>
    <font>
      <sz val="10"/>
      <color theme="1"/>
      <name val="Arial"/>
    </font>
    <font>
      <sz val="10"/>
      <color rgb="FF000000"/>
      <name val="Arial"/>
      <charset val="1"/>
    </font>
    <font>
      <sz val="10"/>
      <color rgb="FF000000"/>
      <name val="Arial"/>
    </font>
    <font>
      <sz val="11"/>
      <color rgb="FF242424"/>
      <name val="Aptos Narrow"/>
      <charset val="1"/>
    </font>
    <font>
      <b/>
      <sz val="10"/>
      <name val="Arial"/>
    </font>
    <font>
      <sz val="14"/>
      <color rgb="FF000000"/>
      <name val="Calibri"/>
      <scheme val="minor"/>
    </font>
    <font>
      <sz val="14"/>
      <color rgb="FF000000"/>
      <name val="Calibri"/>
      <charset val="1"/>
    </font>
    <font>
      <sz val="14"/>
      <color theme="1"/>
      <name val="Calibri"/>
      <family val="2"/>
      <scheme val="minor"/>
    </font>
    <font>
      <sz val="16"/>
      <color rgb="FF000000"/>
      <name val="Arial"/>
    </font>
    <font>
      <sz val="12"/>
      <color rgb="FFFF0000"/>
      <name val="Arial"/>
      <family val="2"/>
    </font>
    <font>
      <sz val="14"/>
      <color rgb="FFFF0000"/>
      <name val="Arial"/>
      <family val="2"/>
    </font>
    <font>
      <sz val="16"/>
      <color theme="1"/>
      <name val="Arial"/>
      <family val="2"/>
    </font>
    <font>
      <sz val="10"/>
      <color theme="0"/>
      <name val="Arial"/>
    </font>
    <font>
      <sz val="10"/>
      <color rgb="FFFF0000"/>
      <name val="Arial"/>
    </font>
    <font>
      <sz val="14"/>
      <color rgb="FF0066CC"/>
      <name val="Calibri"/>
    </font>
    <font>
      <sz val="14"/>
      <color rgb="FF000000"/>
      <name val="Calibri"/>
    </font>
    <font>
      <sz val="14"/>
      <name val="Calibri"/>
    </font>
    <font>
      <sz val="18"/>
      <name val="Arial"/>
    </font>
    <font>
      <sz val="11"/>
      <name val="Arial"/>
    </font>
    <font>
      <sz val="14"/>
      <color rgb="FF000000"/>
      <name val="Aptos Narrow"/>
      <family val="2"/>
    </font>
    <font>
      <sz val="16"/>
      <color rgb="FF000000"/>
      <name val="Aptos Narrow"/>
      <family val="2"/>
    </font>
    <font>
      <sz val="11"/>
      <color rgb="FF000000"/>
      <name val="Aptos Narrow"/>
      <family val="2"/>
    </font>
    <font>
      <sz val="20"/>
      <name val="Calibri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sz val="12"/>
      <color rgb="FF000000"/>
      <name val="Arial"/>
      <charset val="1"/>
    </font>
    <font>
      <sz val="15"/>
      <color rgb="FF000000"/>
      <name val="Arial"/>
      <charset val="1"/>
    </font>
    <font>
      <sz val="20"/>
      <color rgb="FF000000"/>
      <name val="Arial"/>
    </font>
    <font>
      <sz val="20"/>
      <name val="Arial"/>
    </font>
    <font>
      <b/>
      <sz val="20"/>
      <name val="Arial"/>
    </font>
    <font>
      <sz val="20"/>
      <name val="Aptos Narrow"/>
    </font>
    <font>
      <sz val="20"/>
      <color rgb="FF000000"/>
      <name val="Aptos Narrow"/>
    </font>
    <font>
      <b/>
      <sz val="20"/>
      <color theme="1"/>
      <name val="Arial"/>
      <family val="2"/>
    </font>
  </fonts>
  <fills count="74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10"/>
        <bgColor indexed="8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rgb="FF92D05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46F729"/>
        <bgColor indexed="64"/>
      </patternFill>
    </fill>
    <fill>
      <patternFill patternType="solid">
        <fgColor theme="0"/>
        <bgColor theme="6" tint="0.5999938962981048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</patternFill>
    </fill>
    <fill>
      <patternFill patternType="solid">
        <fgColor theme="0"/>
        <bgColor theme="6" tint="0.79992065187536243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6" tint="0.79992065187536243"/>
      </patternFill>
    </fill>
    <fill>
      <patternFill patternType="solid">
        <fgColor theme="5" tint="0.39997558519241921"/>
        <bgColor theme="6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FF00"/>
        <bgColor rgb="FF00FF00"/>
      </patternFill>
    </fill>
    <fill>
      <patternFill patternType="solid">
        <fgColor rgb="FF33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000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12">
    <xf numFmtId="0" fontId="0" fillId="0" borderId="0"/>
    <xf numFmtId="0" fontId="46" fillId="20" borderId="0" applyNumberFormat="0" applyBorder="0" applyAlignment="0" applyProtection="0"/>
    <xf numFmtId="0" fontId="47" fillId="21" borderId="0" applyNumberFormat="0" applyBorder="0" applyAlignment="0" applyProtection="0"/>
    <xf numFmtId="0" fontId="48" fillId="22" borderId="69" applyNumberFormat="0" applyAlignment="0" applyProtection="0"/>
    <xf numFmtId="164" fontId="1" fillId="0" borderId="0" applyFont="0" applyFill="0" applyBorder="0" applyAlignment="0" applyProtection="0"/>
    <xf numFmtId="0" fontId="49" fillId="23" borderId="0" applyNumberFormat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50" fillId="24" borderId="68" applyNumberFormat="0" applyAlignment="0" applyProtection="0"/>
    <xf numFmtId="0" fontId="51" fillId="25" borderId="0" applyNumberFormat="0" applyBorder="0" applyAlignment="0" applyProtection="0"/>
    <xf numFmtId="0" fontId="10" fillId="0" borderId="0"/>
    <xf numFmtId="0" fontId="8" fillId="0" borderId="0"/>
    <xf numFmtId="9" fontId="1" fillId="0" borderId="0" applyFont="0" applyFill="0" applyBorder="0" applyAlignment="0" applyProtection="0"/>
  </cellStyleXfs>
  <cellXfs count="20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5" xfId="0" applyFill="1" applyBorder="1" applyAlignment="1">
      <alignment horizontal="center" vertical="center" wrapText="1"/>
    </xf>
    <xf numFmtId="10" fontId="0" fillId="3" borderId="6" xfId="0" applyNumberFormat="1" applyFill="1" applyBorder="1" applyAlignment="1">
      <alignment horizontal="center"/>
    </xf>
    <xf numFmtId="165" fontId="0" fillId="0" borderId="1" xfId="0" applyNumberFormat="1" applyBorder="1"/>
    <xf numFmtId="0" fontId="2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49" fontId="7" fillId="2" borderId="1" xfId="0" applyNumberFormat="1" applyFont="1" applyFill="1" applyBorder="1" applyAlignment="1" applyProtection="1">
      <alignment horizontal="center"/>
      <protection locked="0"/>
    </xf>
    <xf numFmtId="49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0" fontId="7" fillId="2" borderId="1" xfId="0" applyNumberFormat="1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Protection="1">
      <protection locked="0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Protection="1">
      <protection locked="0"/>
    </xf>
    <xf numFmtId="0" fontId="0" fillId="5" borderId="7" xfId="0" applyFill="1" applyBorder="1" applyAlignment="1">
      <alignment horizontal="left" vertical="center" wrapText="1"/>
    </xf>
    <xf numFmtId="0" fontId="0" fillId="5" borderId="8" xfId="0" applyFill="1" applyBorder="1" applyAlignment="1">
      <alignment horizontal="left" vertical="center" wrapText="1"/>
    </xf>
    <xf numFmtId="9" fontId="0" fillId="0" borderId="9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8" fillId="5" borderId="1" xfId="10" applyFill="1" applyBorder="1" applyAlignment="1">
      <alignment horizontal="center" vertical="center" wrapText="1"/>
    </xf>
    <xf numFmtId="0" fontId="2" fillId="2" borderId="1" xfId="0" applyFont="1" applyFill="1" applyBorder="1" applyAlignment="1" applyProtection="1">
      <alignment horizont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8" fillId="5" borderId="1" xfId="10" applyFill="1" applyBorder="1" applyAlignment="1">
      <alignment wrapText="1"/>
    </xf>
    <xf numFmtId="15" fontId="8" fillId="0" borderId="1" xfId="10" applyNumberFormat="1" applyBorder="1" applyAlignment="1" applyProtection="1">
      <alignment horizontal="center" vertical="center" wrapText="1"/>
      <protection locked="0"/>
    </xf>
    <xf numFmtId="0" fontId="8" fillId="0" borderId="1" xfId="10" applyBorder="1" applyAlignment="1" applyProtection="1">
      <alignment wrapText="1"/>
      <protection locked="0"/>
    </xf>
    <xf numFmtId="0" fontId="8" fillId="5" borderId="1" xfId="10" applyFill="1" applyBorder="1" applyAlignment="1" applyProtection="1">
      <alignment wrapText="1"/>
      <protection locked="0"/>
    </xf>
    <xf numFmtId="0" fontId="3" fillId="0" borderId="1" xfId="0" applyFont="1" applyBorder="1" applyAlignment="1">
      <alignment horizontal="center"/>
    </xf>
    <xf numFmtId="0" fontId="8" fillId="0" borderId="1" xfId="10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5" borderId="10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0" fontId="2" fillId="2" borderId="11" xfId="0" applyFont="1" applyFill="1" applyBorder="1" applyAlignment="1" applyProtection="1">
      <alignment horizontal="center"/>
      <protection locked="0"/>
    </xf>
    <xf numFmtId="49" fontId="2" fillId="2" borderId="9" xfId="0" applyNumberFormat="1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165" fontId="0" fillId="0" borderId="9" xfId="0" applyNumberFormat="1" applyBorder="1"/>
    <xf numFmtId="0" fontId="0" fillId="5" borderId="12" xfId="0" applyFill="1" applyBorder="1" applyAlignment="1">
      <alignment horizontal="center" vertical="center"/>
    </xf>
    <xf numFmtId="0" fontId="8" fillId="7" borderId="13" xfId="10" applyFill="1" applyBorder="1" applyAlignment="1">
      <alignment horizontal="center" vertical="center" wrapText="1"/>
    </xf>
    <xf numFmtId="0" fontId="8" fillId="0" borderId="13" xfId="10" applyBorder="1" applyAlignment="1">
      <alignment horizontal="center" vertical="center" wrapText="1"/>
    </xf>
    <xf numFmtId="0" fontId="8" fillId="8" borderId="13" xfId="10" applyFill="1" applyBorder="1" applyAlignment="1">
      <alignment horizontal="center" vertical="center" wrapText="1"/>
    </xf>
    <xf numFmtId="0" fontId="8" fillId="7" borderId="13" xfId="10" applyFill="1" applyBorder="1" applyAlignment="1" applyProtection="1">
      <alignment horizontal="center" vertical="center" wrapText="1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0" borderId="14" xfId="0" applyBorder="1"/>
    <xf numFmtId="165" fontId="0" fillId="0" borderId="13" xfId="0" applyNumberFormat="1" applyBorder="1"/>
    <xf numFmtId="0" fontId="0" fillId="5" borderId="15" xfId="0" applyFill="1" applyBorder="1" applyAlignment="1">
      <alignment horizontal="center" vertical="center"/>
    </xf>
    <xf numFmtId="0" fontId="8" fillId="7" borderId="1" xfId="10" applyFill="1" applyBorder="1" applyAlignment="1">
      <alignment horizontal="center" vertical="center" wrapText="1"/>
    </xf>
    <xf numFmtId="0" fontId="8" fillId="0" borderId="1" xfId="10" applyBorder="1" applyAlignment="1">
      <alignment horizontal="center" vertical="center" wrapText="1"/>
    </xf>
    <xf numFmtId="0" fontId="8" fillId="8" borderId="1" xfId="10" applyFill="1" applyBorder="1" applyAlignment="1">
      <alignment horizontal="center" vertical="center" wrapText="1"/>
    </xf>
    <xf numFmtId="0" fontId="8" fillId="7" borderId="1" xfId="10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>
      <alignment horizontal="center"/>
    </xf>
    <xf numFmtId="0" fontId="0" fillId="5" borderId="17" xfId="0" applyFill="1" applyBorder="1" applyAlignment="1">
      <alignment horizontal="center" vertical="center"/>
    </xf>
    <xf numFmtId="0" fontId="8" fillId="7" borderId="18" xfId="10" applyFill="1" applyBorder="1" applyAlignment="1">
      <alignment horizontal="center" vertical="center" wrapText="1"/>
    </xf>
    <xf numFmtId="0" fontId="8" fillId="0" borderId="18" xfId="10" applyBorder="1" applyAlignment="1">
      <alignment horizontal="center" vertical="center" wrapText="1"/>
    </xf>
    <xf numFmtId="0" fontId="8" fillId="8" borderId="18" xfId="10" applyFill="1" applyBorder="1" applyAlignment="1">
      <alignment horizontal="center" vertical="center" wrapText="1"/>
    </xf>
    <xf numFmtId="0" fontId="8" fillId="7" borderId="18" xfId="10" applyFill="1" applyBorder="1" applyAlignment="1" applyProtection="1">
      <alignment horizontal="center" vertical="center" wrapText="1"/>
      <protection locked="0"/>
    </xf>
    <xf numFmtId="0" fontId="0" fillId="5" borderId="18" xfId="0" applyFill="1" applyBorder="1" applyAlignment="1" applyProtection="1">
      <alignment horizontal="center" vertical="center"/>
      <protection locked="0"/>
    </xf>
    <xf numFmtId="0" fontId="0" fillId="0" borderId="19" xfId="0" applyBorder="1"/>
    <xf numFmtId="0" fontId="0" fillId="5" borderId="0" xfId="0" applyFill="1" applyAlignment="1">
      <alignment horizontal="center" vertical="center"/>
    </xf>
    <xf numFmtId="0" fontId="8" fillId="7" borderId="20" xfId="10" applyFill="1" applyBorder="1" applyAlignment="1" applyProtection="1">
      <alignment horizontal="center" vertical="center" wrapText="1"/>
      <protection locked="0"/>
    </xf>
    <xf numFmtId="0" fontId="8" fillId="0" borderId="20" xfId="10" applyBorder="1" applyAlignment="1">
      <alignment horizontal="center" vertical="center" wrapText="1"/>
    </xf>
    <xf numFmtId="15" fontId="8" fillId="0" borderId="20" xfId="10" applyNumberFormat="1" applyBorder="1" applyAlignment="1" applyProtection="1">
      <alignment horizontal="center" vertical="center" wrapText="1"/>
      <protection locked="0"/>
    </xf>
    <xf numFmtId="0" fontId="8" fillId="8" borderId="20" xfId="10" applyFill="1" applyBorder="1" applyAlignment="1" applyProtection="1">
      <alignment horizontal="center" vertical="center" wrapText="1"/>
      <protection locked="0"/>
    </xf>
    <xf numFmtId="0" fontId="0" fillId="5" borderId="20" xfId="0" applyFill="1" applyBorder="1" applyAlignment="1" applyProtection="1">
      <alignment horizontal="center" vertical="center"/>
      <protection locked="0"/>
    </xf>
    <xf numFmtId="0" fontId="8" fillId="8" borderId="1" xfId="10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right"/>
    </xf>
    <xf numFmtId="0" fontId="0" fillId="5" borderId="21" xfId="0" applyFill="1" applyBorder="1"/>
    <xf numFmtId="166" fontId="0" fillId="0" borderId="2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0" fillId="5" borderId="23" xfId="0" applyFill="1" applyBorder="1"/>
    <xf numFmtId="166" fontId="0" fillId="0" borderId="24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0" fontId="0" fillId="0" borderId="0" xfId="0" applyProtection="1">
      <protection hidden="1"/>
    </xf>
    <xf numFmtId="49" fontId="0" fillId="0" borderId="0" xfId="0" applyNumberFormat="1"/>
    <xf numFmtId="49" fontId="7" fillId="0" borderId="0" xfId="0" applyNumberFormat="1" applyFont="1" applyAlignment="1">
      <alignment horizontal="center"/>
    </xf>
    <xf numFmtId="0" fontId="0" fillId="5" borderId="26" xfId="0" applyFill="1" applyBorder="1" applyAlignment="1" applyProtection="1">
      <alignment vertical="center" wrapText="1"/>
      <protection hidden="1"/>
    </xf>
    <xf numFmtId="49" fontId="0" fillId="3" borderId="26" xfId="0" applyNumberFormat="1" applyFill="1" applyBorder="1" applyProtection="1">
      <protection hidden="1"/>
    </xf>
    <xf numFmtId="10" fontId="0" fillId="3" borderId="1" xfId="0" applyNumberFormat="1" applyFill="1" applyBorder="1" applyAlignment="1" applyProtection="1">
      <alignment horizontal="center"/>
      <protection hidden="1"/>
    </xf>
    <xf numFmtId="0" fontId="7" fillId="5" borderId="1" xfId="0" applyFont="1" applyFill="1" applyBorder="1" applyAlignment="1">
      <alignment horizontal="center"/>
    </xf>
    <xf numFmtId="0" fontId="0" fillId="0" borderId="27" xfId="0" applyBorder="1"/>
    <xf numFmtId="9" fontId="0" fillId="5" borderId="21" xfId="0" applyNumberFormat="1" applyFill="1" applyBorder="1" applyAlignment="1">
      <alignment horizontal="center"/>
    </xf>
    <xf numFmtId="9" fontId="0" fillId="0" borderId="23" xfId="0" applyNumberFormat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26" xfId="0" applyBorder="1"/>
    <xf numFmtId="0" fontId="0" fillId="0" borderId="1" xfId="0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17" fontId="0" fillId="5" borderId="1" xfId="0" applyNumberForma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 vertical="center"/>
    </xf>
    <xf numFmtId="167" fontId="0" fillId="5" borderId="1" xfId="0" applyNumberForma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49" fontId="7" fillId="3" borderId="28" xfId="0" applyNumberFormat="1" applyFont="1" applyFill="1" applyBorder="1" applyAlignment="1" applyProtection="1">
      <alignment horizontal="center"/>
      <protection hidden="1"/>
    </xf>
    <xf numFmtId="0" fontId="0" fillId="3" borderId="29" xfId="0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7" fillId="2" borderId="1" xfId="0" applyNumberFormat="1" applyFont="1" applyFill="1" applyBorder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0" fontId="0" fillId="11" borderId="1" xfId="0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0" xfId="0" applyNumberFormat="1" applyProtection="1">
      <protection hidden="1"/>
    </xf>
    <xf numFmtId="0" fontId="0" fillId="4" borderId="1" xfId="0" applyFill="1" applyBorder="1"/>
    <xf numFmtId="0" fontId="0" fillId="12" borderId="1" xfId="0" applyFill="1" applyBorder="1"/>
    <xf numFmtId="49" fontId="7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7" fillId="2" borderId="9" xfId="0" applyNumberFormat="1" applyFont="1" applyFill="1" applyBorder="1" applyAlignment="1" applyProtection="1">
      <alignment horizontal="center"/>
      <protection locked="0"/>
    </xf>
    <xf numFmtId="0" fontId="7" fillId="2" borderId="9" xfId="0" applyFont="1" applyFill="1" applyBorder="1" applyAlignment="1">
      <alignment horizontal="center"/>
    </xf>
    <xf numFmtId="0" fontId="4" fillId="0" borderId="0" xfId="6" applyAlignment="1" applyProtection="1"/>
    <xf numFmtId="0" fontId="7" fillId="9" borderId="1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5" fontId="0" fillId="4" borderId="1" xfId="0" applyNumberFormat="1" applyFill="1" applyBorder="1"/>
    <xf numFmtId="165" fontId="0" fillId="12" borderId="1" xfId="0" applyNumberFormat="1" applyFill="1" applyBorder="1"/>
    <xf numFmtId="0" fontId="0" fillId="5" borderId="0" xfId="0" applyFill="1" applyAlignment="1">
      <alignment horizontal="center" vertical="center" wrapText="1"/>
    </xf>
    <xf numFmtId="15" fontId="0" fillId="0" borderId="0" xfId="0" applyNumberFormat="1"/>
    <xf numFmtId="0" fontId="11" fillId="5" borderId="0" xfId="0" applyFont="1" applyFill="1" applyAlignment="1">
      <alignment horizontal="center"/>
    </xf>
    <xf numFmtId="0" fontId="0" fillId="5" borderId="7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5" fontId="8" fillId="0" borderId="1" xfId="10" applyNumberFormat="1" applyBorder="1" applyAlignment="1" applyProtection="1">
      <alignment horizontal="center" vertical="center"/>
      <protection locked="0"/>
    </xf>
    <xf numFmtId="0" fontId="10" fillId="5" borderId="1" xfId="0" applyFont="1" applyFill="1" applyBorder="1" applyAlignment="1">
      <alignment horizontal="center" vertical="center" wrapText="1"/>
    </xf>
    <xf numFmtId="15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10" fillId="5" borderId="1" xfId="0" applyFont="1" applyFill="1" applyBorder="1" applyProtection="1">
      <protection locked="0"/>
    </xf>
    <xf numFmtId="0" fontId="18" fillId="5" borderId="1" xfId="10" applyFont="1" applyFill="1" applyBorder="1" applyAlignment="1" applyProtection="1">
      <alignment wrapText="1"/>
      <protection locked="0"/>
    </xf>
    <xf numFmtId="15" fontId="8" fillId="5" borderId="1" xfId="10" applyNumberFormat="1" applyFill="1" applyBorder="1" applyAlignment="1">
      <alignment wrapText="1"/>
    </xf>
    <xf numFmtId="0" fontId="0" fillId="9" borderId="30" xfId="0" applyFill="1" applyBorder="1" applyAlignment="1">
      <alignment horizontal="center" vertical="center"/>
    </xf>
    <xf numFmtId="0" fontId="7" fillId="9" borderId="26" xfId="0" applyFont="1" applyFill="1" applyBorder="1" applyAlignment="1">
      <alignment horizontal="center" vertical="center"/>
    </xf>
    <xf numFmtId="0" fontId="8" fillId="5" borderId="1" xfId="10" applyFill="1" applyBorder="1" applyAlignment="1" applyProtection="1">
      <alignment horizontal="center" vertical="center"/>
      <protection locked="0"/>
    </xf>
    <xf numFmtId="0" fontId="2" fillId="4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>
      <alignment horizontal="center" vertical="center"/>
    </xf>
    <xf numFmtId="49" fontId="3" fillId="5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20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5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49" fontId="3" fillId="5" borderId="9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5" borderId="9" xfId="0" applyNumberFormat="1" applyFont="1" applyFill="1" applyBorder="1" applyAlignment="1" applyProtection="1">
      <alignment horizontal="center" vertical="center"/>
      <protection locked="0"/>
    </xf>
    <xf numFmtId="0" fontId="7" fillId="5" borderId="9" xfId="0" applyFont="1" applyFill="1" applyBorder="1" applyAlignment="1">
      <alignment horizontal="center" vertical="center"/>
    </xf>
    <xf numFmtId="165" fontId="0" fillId="13" borderId="1" xfId="0" applyNumberFormat="1" applyFill="1" applyBorder="1"/>
    <xf numFmtId="0" fontId="3" fillId="13" borderId="1" xfId="0" applyFont="1" applyFill="1" applyBorder="1" applyAlignment="1">
      <alignment horizontal="center"/>
    </xf>
    <xf numFmtId="0" fontId="3" fillId="13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14" borderId="1" xfId="0" applyFill="1" applyBorder="1" applyAlignment="1">
      <alignment horizontal="center"/>
    </xf>
    <xf numFmtId="16" fontId="10" fillId="5" borderId="1" xfId="0" applyNumberFormat="1" applyFont="1" applyFill="1" applyBorder="1" applyAlignment="1">
      <alignment horizontal="center" vertical="center" wrapText="1"/>
    </xf>
    <xf numFmtId="15" fontId="0" fillId="5" borderId="1" xfId="0" applyNumberFormat="1" applyFill="1" applyBorder="1" applyAlignment="1">
      <alignment horizontal="center" vertical="center"/>
    </xf>
    <xf numFmtId="15" fontId="10" fillId="5" borderId="1" xfId="0" applyNumberFormat="1" applyFont="1" applyFill="1" applyBorder="1" applyAlignment="1">
      <alignment horizontal="center" vertical="center" wrapText="1"/>
    </xf>
    <xf numFmtId="9" fontId="0" fillId="0" borderId="16" xfId="0" applyNumberFormat="1" applyBorder="1" applyAlignment="1">
      <alignment horizontal="center" vertical="center"/>
    </xf>
    <xf numFmtId="0" fontId="10" fillId="5" borderId="0" xfId="0" applyFont="1" applyFill="1" applyAlignment="1">
      <alignment horizontal="center" vertical="center" wrapText="1"/>
    </xf>
    <xf numFmtId="0" fontId="10" fillId="0" borderId="0" xfId="0" applyFont="1"/>
    <xf numFmtId="0" fontId="0" fillId="0" borderId="0" xfId="0" applyAlignment="1">
      <alignment wrapText="1"/>
    </xf>
    <xf numFmtId="0" fontId="12" fillId="5" borderId="0" xfId="0" applyFont="1" applyFill="1" applyAlignment="1">
      <alignment horizontal="center" vertical="center" wrapText="1"/>
    </xf>
    <xf numFmtId="17" fontId="0" fillId="5" borderId="0" xfId="0" applyNumberForma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0" fillId="15" borderId="1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center"/>
    </xf>
    <xf numFmtId="0" fontId="0" fillId="26" borderId="1" xfId="0" applyFill="1" applyBorder="1" applyProtection="1">
      <protection locked="0"/>
    </xf>
    <xf numFmtId="165" fontId="3" fillId="0" borderId="1" xfId="0" applyNumberFormat="1" applyFont="1" applyBorder="1" applyAlignment="1" applyProtection="1">
      <alignment horizontal="center"/>
      <protection locked="0"/>
    </xf>
    <xf numFmtId="0" fontId="0" fillId="26" borderId="0" xfId="0" applyFill="1"/>
    <xf numFmtId="0" fontId="0" fillId="9" borderId="28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3" fillId="9" borderId="32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49" fontId="3" fillId="5" borderId="1" xfId="0" applyNumberFormat="1" applyFont="1" applyFill="1" applyBorder="1" applyAlignment="1">
      <alignment horizontal="center" vertical="center" wrapText="1"/>
    </xf>
    <xf numFmtId="49" fontId="3" fillId="5" borderId="16" xfId="0" applyNumberFormat="1" applyFont="1" applyFill="1" applyBorder="1" applyAlignment="1" applyProtection="1">
      <alignment horizontal="center" vertical="center"/>
      <protection locked="0"/>
    </xf>
    <xf numFmtId="49" fontId="3" fillId="5" borderId="20" xfId="0" applyNumberFormat="1" applyFont="1" applyFill="1" applyBorder="1" applyAlignment="1">
      <alignment horizontal="center"/>
    </xf>
    <xf numFmtId="49" fontId="3" fillId="5" borderId="20" xfId="0" applyNumberFormat="1" applyFont="1" applyFill="1" applyBorder="1" applyAlignment="1">
      <alignment horizontal="center" vertical="center"/>
    </xf>
    <xf numFmtId="49" fontId="3" fillId="5" borderId="16" xfId="0" applyNumberFormat="1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10" fillId="26" borderId="9" xfId="0" applyFont="1" applyFill="1" applyBorder="1"/>
    <xf numFmtId="0" fontId="0" fillId="26" borderId="1" xfId="0" applyFill="1" applyBorder="1"/>
    <xf numFmtId="49" fontId="3" fillId="5" borderId="9" xfId="0" applyNumberFormat="1" applyFont="1" applyFill="1" applyBorder="1" applyAlignment="1">
      <alignment horizontal="center" vertical="center" wrapText="1"/>
    </xf>
    <xf numFmtId="49" fontId="3" fillId="5" borderId="16" xfId="0" applyNumberFormat="1" applyFont="1" applyFill="1" applyBorder="1" applyAlignment="1">
      <alignment horizontal="center" vertical="center" wrapText="1"/>
    </xf>
    <xf numFmtId="49" fontId="3" fillId="5" borderId="9" xfId="0" applyNumberFormat="1" applyFont="1" applyFill="1" applyBorder="1" applyAlignment="1">
      <alignment horizontal="center"/>
    </xf>
    <xf numFmtId="49" fontId="3" fillId="5" borderId="1" xfId="0" applyNumberFormat="1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7" fillId="27" borderId="9" xfId="0" applyFont="1" applyFill="1" applyBorder="1" applyAlignment="1">
      <alignment horizontal="center"/>
    </xf>
    <xf numFmtId="0" fontId="10" fillId="28" borderId="1" xfId="0" applyFont="1" applyFill="1" applyBorder="1" applyAlignment="1">
      <alignment horizontal="center" vertical="center"/>
    </xf>
    <xf numFmtId="0" fontId="0" fillId="28" borderId="1" xfId="0" applyFill="1" applyBorder="1" applyAlignment="1">
      <alignment horizontal="center" vertical="center"/>
    </xf>
    <xf numFmtId="0" fontId="7" fillId="29" borderId="1" xfId="0" applyFont="1" applyFill="1" applyBorder="1" applyAlignment="1">
      <alignment horizontal="center" vertical="center"/>
    </xf>
    <xf numFmtId="0" fontId="10" fillId="26" borderId="1" xfId="0" applyFont="1" applyFill="1" applyBorder="1"/>
    <xf numFmtId="49" fontId="3" fillId="5" borderId="16" xfId="0" applyNumberFormat="1" applyFont="1" applyFill="1" applyBorder="1" applyAlignment="1" applyProtection="1">
      <alignment horizontal="center" vertical="center" wrapText="1"/>
      <protection locked="0"/>
    </xf>
    <xf numFmtId="0" fontId="7" fillId="9" borderId="33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/>
    </xf>
    <xf numFmtId="0" fontId="21" fillId="0" borderId="0" xfId="0" applyFont="1"/>
    <xf numFmtId="165" fontId="21" fillId="0" borderId="1" xfId="0" applyNumberFormat="1" applyFont="1" applyBorder="1" applyAlignment="1">
      <alignment horizontal="center" vertical="center"/>
    </xf>
    <xf numFmtId="0" fontId="21" fillId="12" borderId="1" xfId="0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>
      <alignment vertical="center"/>
    </xf>
    <xf numFmtId="0" fontId="21" fillId="30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10" fillId="31" borderId="1" xfId="0" applyFont="1" applyFill="1" applyBorder="1" applyAlignment="1">
      <alignment horizontal="center" vertical="center"/>
    </xf>
    <xf numFmtId="49" fontId="3" fillId="5" borderId="20" xfId="0" applyNumberFormat="1" applyFont="1" applyFill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3" fillId="9" borderId="11" xfId="0" applyFont="1" applyFill="1" applyBorder="1" applyAlignment="1">
      <alignment horizontal="center"/>
    </xf>
    <xf numFmtId="0" fontId="3" fillId="0" borderId="1" xfId="0" applyFont="1" applyBorder="1" applyAlignment="1">
      <alignment horizontal="left" vertical="center" wrapText="1"/>
    </xf>
    <xf numFmtId="49" fontId="3" fillId="14" borderId="26" xfId="0" applyNumberFormat="1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30" borderId="1" xfId="0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0" fontId="0" fillId="0" borderId="34" xfId="0" applyBorder="1"/>
    <xf numFmtId="0" fontId="0" fillId="0" borderId="35" xfId="0" applyBorder="1"/>
    <xf numFmtId="0" fontId="53" fillId="0" borderId="35" xfId="0" applyFont="1" applyBorder="1"/>
    <xf numFmtId="0" fontId="10" fillId="0" borderId="35" xfId="0" applyFont="1" applyBorder="1"/>
    <xf numFmtId="0" fontId="0" fillId="0" borderId="36" xfId="0" applyBorder="1"/>
    <xf numFmtId="49" fontId="7" fillId="26" borderId="1" xfId="0" applyNumberFormat="1" applyFont="1" applyFill="1" applyBorder="1" applyAlignment="1" applyProtection="1">
      <alignment horizontal="center"/>
      <protection locked="0"/>
    </xf>
    <xf numFmtId="0" fontId="0" fillId="0" borderId="29" xfId="0" applyBorder="1"/>
    <xf numFmtId="0" fontId="0" fillId="0" borderId="37" xfId="0" applyBorder="1"/>
    <xf numFmtId="0" fontId="0" fillId="0" borderId="16" xfId="0" applyBorder="1"/>
    <xf numFmtId="0" fontId="0" fillId="0" borderId="20" xfId="0" applyBorder="1"/>
    <xf numFmtId="0" fontId="10" fillId="0" borderId="16" xfId="0" applyFont="1" applyBorder="1"/>
    <xf numFmtId="0" fontId="10" fillId="0" borderId="29" xfId="0" applyFont="1" applyBorder="1"/>
    <xf numFmtId="0" fontId="10" fillId="0" borderId="19" xfId="0" applyFont="1" applyBorder="1"/>
    <xf numFmtId="0" fontId="10" fillId="26" borderId="1" xfId="0" applyFont="1" applyFill="1" applyBorder="1" applyAlignment="1">
      <alignment horizontal="center" vertical="center" wrapText="1"/>
    </xf>
    <xf numFmtId="0" fontId="10" fillId="26" borderId="1" xfId="0" applyFont="1" applyFill="1" applyBorder="1" applyAlignment="1">
      <alignment horizontal="center" vertical="center"/>
    </xf>
    <xf numFmtId="14" fontId="0" fillId="0" borderId="0" xfId="0" applyNumberFormat="1"/>
    <xf numFmtId="0" fontId="7" fillId="0" borderId="1" xfId="0" applyFont="1" applyBorder="1" applyAlignment="1">
      <alignment horizontal="center"/>
    </xf>
    <xf numFmtId="0" fontId="10" fillId="5" borderId="26" xfId="0" applyFont="1" applyFill="1" applyBorder="1" applyAlignment="1" applyProtection="1">
      <alignment vertical="center" wrapText="1"/>
      <protection hidden="1"/>
    </xf>
    <xf numFmtId="0" fontId="0" fillId="34" borderId="1" xfId="0" applyFill="1" applyBorder="1"/>
    <xf numFmtId="0" fontId="0" fillId="27" borderId="1" xfId="0" applyFill="1" applyBorder="1"/>
    <xf numFmtId="0" fontId="10" fillId="35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7" fillId="0" borderId="1" xfId="0" applyFont="1" applyBorder="1" applyAlignment="1">
      <alignment horizontal="center" vertical="center"/>
    </xf>
    <xf numFmtId="15" fontId="21" fillId="26" borderId="1" xfId="0" applyNumberFormat="1" applyFont="1" applyFill="1" applyBorder="1" applyAlignment="1">
      <alignment horizontal="center" vertical="center"/>
    </xf>
    <xf numFmtId="0" fontId="21" fillId="0" borderId="1" xfId="0" applyFont="1" applyBorder="1"/>
    <xf numFmtId="15" fontId="10" fillId="26" borderId="1" xfId="0" applyNumberFormat="1" applyFont="1" applyFill="1" applyBorder="1" applyAlignment="1" applyProtection="1">
      <alignment horizontal="center" vertical="center"/>
      <protection hidden="1"/>
    </xf>
    <xf numFmtId="15" fontId="0" fillId="0" borderId="1" xfId="0" applyNumberFormat="1" applyBorder="1" applyAlignment="1" applyProtection="1">
      <alignment horizontal="center"/>
      <protection hidden="1"/>
    </xf>
    <xf numFmtId="0" fontId="7" fillId="0" borderId="0" xfId="0" applyFont="1" applyAlignment="1">
      <alignment vertical="center" wrapText="1"/>
    </xf>
    <xf numFmtId="15" fontId="0" fillId="0" borderId="1" xfId="0" applyNumberFormat="1" applyBorder="1" applyAlignment="1">
      <alignment horizontal="center" vertical="center"/>
    </xf>
    <xf numFmtId="0" fontId="7" fillId="26" borderId="1" xfId="0" applyFont="1" applyFill="1" applyBorder="1" applyAlignment="1" applyProtection="1">
      <alignment horizontal="center"/>
      <protection locked="0"/>
    </xf>
    <xf numFmtId="15" fontId="9" fillId="0" borderId="0" xfId="0" applyNumberFormat="1" applyFont="1" applyAlignment="1">
      <alignment horizontal="center" vertical="center"/>
    </xf>
    <xf numFmtId="15" fontId="10" fillId="0" borderId="1" xfId="0" applyNumberFormat="1" applyFont="1" applyBorder="1" applyAlignment="1" applyProtection="1">
      <alignment horizontal="center" vertical="center"/>
      <protection hidden="1"/>
    </xf>
    <xf numFmtId="15" fontId="0" fillId="34" borderId="1" xfId="0" applyNumberFormat="1" applyFill="1" applyBorder="1" applyAlignment="1">
      <alignment horizontal="center" vertical="center"/>
    </xf>
    <xf numFmtId="15" fontId="10" fillId="0" borderId="1" xfId="0" applyNumberFormat="1" applyFont="1" applyBorder="1" applyAlignment="1">
      <alignment horizontal="center" vertical="center"/>
    </xf>
    <xf numFmtId="0" fontId="10" fillId="30" borderId="1" xfId="0" applyFont="1" applyFill="1" applyBorder="1" applyAlignment="1">
      <alignment horizontal="center" vertical="center"/>
    </xf>
    <xf numFmtId="169" fontId="0" fillId="0" borderId="0" xfId="0" applyNumberFormat="1"/>
    <xf numFmtId="0" fontId="0" fillId="37" borderId="0" xfId="0" applyFill="1" applyAlignment="1">
      <alignment horizontal="center"/>
    </xf>
    <xf numFmtId="168" fontId="10" fillId="37" borderId="0" xfId="0" applyNumberFormat="1" applyFont="1" applyFill="1" applyAlignment="1">
      <alignment horizontal="center"/>
    </xf>
    <xf numFmtId="49" fontId="54" fillId="30" borderId="1" xfId="0" applyNumberFormat="1" applyFont="1" applyFill="1" applyBorder="1" applyAlignment="1">
      <alignment horizontal="center"/>
    </xf>
    <xf numFmtId="15" fontId="21" fillId="30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 applyProtection="1">
      <alignment horizontal="center"/>
      <protection locked="0"/>
    </xf>
    <xf numFmtId="49" fontId="54" fillId="30" borderId="1" xfId="0" applyNumberFormat="1" applyFont="1" applyFill="1" applyBorder="1" applyAlignment="1">
      <alignment horizontal="center" vertical="center"/>
    </xf>
    <xf numFmtId="0" fontId="21" fillId="30" borderId="26" xfId="0" applyFont="1" applyFill="1" applyBorder="1" applyAlignment="1" applyProtection="1">
      <alignment horizontal="center" vertical="center" wrapText="1"/>
      <protection locked="0"/>
    </xf>
    <xf numFmtId="15" fontId="10" fillId="0" borderId="1" xfId="0" applyNumberFormat="1" applyFont="1" applyBorder="1" applyAlignment="1" applyProtection="1">
      <alignment horizontal="center"/>
      <protection hidden="1"/>
    </xf>
    <xf numFmtId="49" fontId="54" fillId="0" borderId="1" xfId="0" applyNumberFormat="1" applyFont="1" applyBorder="1" applyAlignment="1">
      <alignment horizontal="center" vertical="center" wrapText="1"/>
    </xf>
    <xf numFmtId="0" fontId="10" fillId="38" borderId="1" xfId="0" applyFont="1" applyFill="1" applyBorder="1" applyAlignment="1">
      <alignment horizontal="center" vertical="center" wrapText="1"/>
    </xf>
    <xf numFmtId="15" fontId="21" fillId="30" borderId="0" xfId="0" applyNumberFormat="1" applyFont="1" applyFill="1" applyAlignment="1">
      <alignment horizontal="center" vertical="center"/>
    </xf>
    <xf numFmtId="15" fontId="21" fillId="26" borderId="0" xfId="0" applyNumberFormat="1" applyFont="1" applyFill="1" applyAlignment="1">
      <alignment horizontal="center" vertical="center"/>
    </xf>
    <xf numFmtId="0" fontId="22" fillId="39" borderId="26" xfId="0" applyFont="1" applyFill="1" applyBorder="1" applyAlignment="1" applyProtection="1">
      <alignment horizontal="center" vertical="center" wrapText="1"/>
      <protection locked="0"/>
    </xf>
    <xf numFmtId="0" fontId="21" fillId="30" borderId="0" xfId="0" applyFont="1" applyFill="1" applyAlignment="1">
      <alignment horizontal="center" vertical="center" wrapText="1"/>
    </xf>
    <xf numFmtId="0" fontId="22" fillId="39" borderId="0" xfId="0" applyFont="1" applyFill="1" applyAlignment="1" applyProtection="1">
      <alignment horizontal="center" vertical="center" wrapText="1"/>
      <protection locked="0"/>
    </xf>
    <xf numFmtId="49" fontId="54" fillId="0" borderId="16" xfId="0" applyNumberFormat="1" applyFont="1" applyBorder="1" applyAlignment="1">
      <alignment horizontal="center" vertical="center" wrapText="1"/>
    </xf>
    <xf numFmtId="0" fontId="55" fillId="0" borderId="0" xfId="0" applyFont="1"/>
    <xf numFmtId="0" fontId="0" fillId="37" borderId="0" xfId="0" applyFill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49" fontId="7" fillId="9" borderId="26" xfId="0" applyNumberFormat="1" applyFont="1" applyFill="1" applyBorder="1" applyAlignment="1">
      <alignment horizontal="center" vertical="center"/>
    </xf>
    <xf numFmtId="49" fontId="7" fillId="40" borderId="1" xfId="0" applyNumberFormat="1" applyFont="1" applyFill="1" applyBorder="1" applyAlignment="1" applyProtection="1">
      <alignment horizontal="center"/>
      <protection locked="0"/>
    </xf>
    <xf numFmtId="49" fontId="7" fillId="0" borderId="26" xfId="0" applyNumberFormat="1" applyFont="1" applyBorder="1" applyAlignment="1">
      <alignment vertical="center"/>
    </xf>
    <xf numFmtId="49" fontId="10" fillId="0" borderId="26" xfId="0" applyNumberFormat="1" applyFont="1" applyBorder="1" applyAlignment="1">
      <alignment vertical="center"/>
    </xf>
    <xf numFmtId="0" fontId="10" fillId="0" borderId="1" xfId="0" applyFont="1" applyBorder="1"/>
    <xf numFmtId="0" fontId="14" fillId="41" borderId="0" xfId="0" applyFont="1" applyFill="1" applyAlignment="1">
      <alignment horizontal="center" vertical="center" wrapText="1"/>
    </xf>
    <xf numFmtId="0" fontId="15" fillId="41" borderId="15" xfId="0" applyFont="1" applyFill="1" applyBorder="1" applyAlignment="1">
      <alignment horizontal="center"/>
    </xf>
    <xf numFmtId="0" fontId="19" fillId="42" borderId="38" xfId="0" applyFont="1" applyFill="1" applyBorder="1" applyAlignment="1">
      <alignment horizontal="center" vertical="center" wrapText="1"/>
    </xf>
    <xf numFmtId="0" fontId="7" fillId="0" borderId="0" xfId="0" applyFont="1"/>
    <xf numFmtId="15" fontId="0" fillId="33" borderId="1" xfId="0" applyNumberForma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15" fontId="0" fillId="31" borderId="1" xfId="0" applyNumberForma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165" fontId="3" fillId="26" borderId="1" xfId="0" applyNumberFormat="1" applyFont="1" applyFill="1" applyBorder="1" applyAlignment="1" applyProtection="1">
      <alignment horizontal="center"/>
      <protection locked="0"/>
    </xf>
    <xf numFmtId="0" fontId="3" fillId="32" borderId="1" xfId="0" applyFont="1" applyFill="1" applyBorder="1" applyAlignment="1" applyProtection="1">
      <alignment horizontal="center" vertical="center"/>
      <protection locked="0"/>
    </xf>
    <xf numFmtId="16" fontId="53" fillId="26" borderId="1" xfId="0" applyNumberFormat="1" applyFont="1" applyFill="1" applyBorder="1"/>
    <xf numFmtId="0" fontId="3" fillId="26" borderId="1" xfId="0" applyFont="1" applyFill="1" applyBorder="1" applyAlignment="1" applyProtection="1">
      <alignment horizontal="center" vertical="center"/>
      <protection locked="0"/>
    </xf>
    <xf numFmtId="0" fontId="0" fillId="26" borderId="0" xfId="0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65" fontId="25" fillId="0" borderId="1" xfId="0" applyNumberFormat="1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26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5" borderId="9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9" fontId="25" fillId="0" borderId="1" xfId="0" applyNumberFormat="1" applyFont="1" applyBorder="1" applyAlignment="1">
      <alignment horizontal="center" vertical="center"/>
    </xf>
    <xf numFmtId="0" fontId="25" fillId="0" borderId="1" xfId="0" applyFont="1" applyBorder="1" applyAlignment="1" applyProtection="1">
      <alignment vertical="center"/>
      <protection locked="0"/>
    </xf>
    <xf numFmtId="0" fontId="25" fillId="0" borderId="1" xfId="0" applyFont="1" applyBorder="1" applyAlignment="1">
      <alignment vertical="center"/>
    </xf>
    <xf numFmtId="15" fontId="25" fillId="0" borderId="1" xfId="0" applyNumberFormat="1" applyFont="1" applyBorder="1" applyAlignment="1">
      <alignment horizontal="center" vertical="center"/>
    </xf>
    <xf numFmtId="9" fontId="25" fillId="5" borderId="1" xfId="0" applyNumberFormat="1" applyFont="1" applyFill="1" applyBorder="1" applyAlignment="1">
      <alignment horizontal="center" vertical="center"/>
    </xf>
    <xf numFmtId="0" fontId="25" fillId="26" borderId="1" xfId="0" applyFont="1" applyFill="1" applyBorder="1" applyAlignment="1">
      <alignment horizontal="center" vertical="center"/>
    </xf>
    <xf numFmtId="0" fontId="25" fillId="0" borderId="1" xfId="0" applyFont="1" applyBorder="1" applyAlignment="1" applyProtection="1">
      <alignment horizontal="left" vertical="center"/>
      <protection locked="0"/>
    </xf>
    <xf numFmtId="0" fontId="25" fillId="5" borderId="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9" fontId="25" fillId="5" borderId="11" xfId="0" applyNumberFormat="1" applyFont="1" applyFill="1" applyBorder="1" applyAlignment="1">
      <alignment horizontal="center"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25" fillId="30" borderId="1" xfId="0" applyFont="1" applyFill="1" applyBorder="1" applyAlignment="1">
      <alignment horizontal="center" vertical="center"/>
    </xf>
    <xf numFmtId="0" fontId="25" fillId="26" borderId="1" xfId="0" applyFont="1" applyFill="1" applyBorder="1" applyAlignment="1">
      <alignment vertical="center"/>
    </xf>
    <xf numFmtId="0" fontId="25" fillId="26" borderId="1" xfId="0" applyFont="1" applyFill="1" applyBorder="1" applyAlignment="1" applyProtection="1">
      <alignment horizontal="left" vertical="center"/>
      <protection locked="0"/>
    </xf>
    <xf numFmtId="0" fontId="25" fillId="5" borderId="32" xfId="0" applyFont="1" applyFill="1" applyBorder="1" applyAlignment="1">
      <alignment horizontal="center" vertical="center"/>
    </xf>
    <xf numFmtId="0" fontId="25" fillId="26" borderId="1" xfId="0" applyFont="1" applyFill="1" applyBorder="1" applyAlignment="1" applyProtection="1">
      <alignment vertical="center"/>
      <protection locked="0"/>
    </xf>
    <xf numFmtId="9" fontId="25" fillId="5" borderId="26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28" borderId="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5" fillId="29" borderId="1" xfId="0" applyFont="1" applyFill="1" applyBorder="1" applyAlignment="1">
      <alignment horizontal="center" vertical="center"/>
    </xf>
    <xf numFmtId="0" fontId="25" fillId="26" borderId="0" xfId="0" applyFont="1" applyFill="1" applyAlignment="1">
      <alignment horizontal="center" vertical="center"/>
    </xf>
    <xf numFmtId="0" fontId="57" fillId="26" borderId="1" xfId="0" applyFont="1" applyFill="1" applyBorder="1" applyAlignment="1" applyProtection="1">
      <alignment vertical="center"/>
      <protection locked="0"/>
    </xf>
    <xf numFmtId="0" fontId="57" fillId="0" borderId="1" xfId="0" applyFont="1" applyBorder="1" applyAlignment="1">
      <alignment vertical="center"/>
    </xf>
    <xf numFmtId="0" fontId="25" fillId="0" borderId="16" xfId="0" applyFont="1" applyBorder="1" applyAlignment="1">
      <alignment horizontal="center" vertical="center" wrapText="1"/>
    </xf>
    <xf numFmtId="0" fontId="10" fillId="44" borderId="1" xfId="0" applyFont="1" applyFill="1" applyBorder="1" applyAlignment="1">
      <alignment horizontal="center" vertical="center" wrapText="1"/>
    </xf>
    <xf numFmtId="0" fontId="0" fillId="44" borderId="1" xfId="0" applyFill="1" applyBorder="1" applyAlignment="1">
      <alignment horizontal="center"/>
    </xf>
    <xf numFmtId="9" fontId="26" fillId="0" borderId="1" xfId="0" applyNumberFormat="1" applyFont="1" applyBorder="1" applyAlignment="1">
      <alignment horizontal="center" vertical="center" wrapText="1"/>
    </xf>
    <xf numFmtId="9" fontId="26" fillId="5" borderId="1" xfId="0" applyNumberFormat="1" applyFont="1" applyFill="1" applyBorder="1" applyAlignment="1">
      <alignment horizontal="center" vertical="center" wrapText="1"/>
    </xf>
    <xf numFmtId="0" fontId="26" fillId="26" borderId="1" xfId="0" applyFont="1" applyFill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 wrapText="1"/>
      <protection locked="0"/>
    </xf>
    <xf numFmtId="0" fontId="26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15" fontId="26" fillId="0" borderId="1" xfId="0" applyNumberFormat="1" applyFont="1" applyBorder="1" applyAlignment="1" applyProtection="1">
      <alignment horizontal="center" vertical="center"/>
      <protection locked="0"/>
    </xf>
    <xf numFmtId="0" fontId="26" fillId="26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0" fillId="45" borderId="1" xfId="0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" fontId="0" fillId="0" borderId="0" xfId="0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" fontId="0" fillId="40" borderId="1" xfId="0" applyNumberFormat="1" applyFill="1" applyBorder="1" applyAlignment="1">
      <alignment horizontal="center" vertical="center"/>
    </xf>
    <xf numFmtId="0" fontId="0" fillId="40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left"/>
    </xf>
    <xf numFmtId="2" fontId="0" fillId="40" borderId="1" xfId="0" applyNumberFormat="1" applyFill="1" applyBorder="1" applyAlignment="1">
      <alignment horizontal="left"/>
    </xf>
    <xf numFmtId="1" fontId="0" fillId="40" borderId="1" xfId="0" applyNumberFormat="1" applyFill="1" applyBorder="1" applyAlignment="1">
      <alignment horizontal="left"/>
    </xf>
    <xf numFmtId="0" fontId="0" fillId="40" borderId="1" xfId="0" applyFill="1" applyBorder="1"/>
    <xf numFmtId="14" fontId="0" fillId="40" borderId="1" xfId="0" applyNumberFormat="1" applyFill="1" applyBorder="1" applyAlignment="1">
      <alignment horizontal="left"/>
    </xf>
    <xf numFmtId="1" fontId="0" fillId="27" borderId="1" xfId="0" applyNumberFormat="1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1" xfId="0" applyFill="1" applyBorder="1" applyAlignment="1">
      <alignment horizontal="left"/>
    </xf>
    <xf numFmtId="2" fontId="0" fillId="27" borderId="1" xfId="0" applyNumberFormat="1" applyFill="1" applyBorder="1" applyAlignment="1">
      <alignment horizontal="left"/>
    </xf>
    <xf numFmtId="1" fontId="0" fillId="27" borderId="1" xfId="0" applyNumberFormat="1" applyFill="1" applyBorder="1" applyAlignment="1">
      <alignment horizontal="left"/>
    </xf>
    <xf numFmtId="14" fontId="0" fillId="27" borderId="1" xfId="0" applyNumberFormat="1" applyFill="1" applyBorder="1" applyAlignment="1">
      <alignment horizontal="left"/>
    </xf>
    <xf numFmtId="1" fontId="0" fillId="38" borderId="1" xfId="0" applyNumberFormat="1" applyFill="1" applyBorder="1" applyAlignment="1">
      <alignment horizontal="center" vertical="center"/>
    </xf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/>
    </xf>
    <xf numFmtId="1" fontId="0" fillId="38" borderId="1" xfId="0" applyNumberFormat="1" applyFill="1" applyBorder="1" applyAlignment="1">
      <alignment horizontal="left"/>
    </xf>
    <xf numFmtId="0" fontId="0" fillId="38" borderId="1" xfId="0" applyFill="1" applyBorder="1"/>
    <xf numFmtId="14" fontId="0" fillId="38" borderId="1" xfId="0" applyNumberFormat="1" applyFill="1" applyBorder="1" applyAlignment="1">
      <alignment horizontal="left"/>
    </xf>
    <xf numFmtId="1" fontId="0" fillId="26" borderId="1" xfId="0" applyNumberFormat="1" applyFill="1" applyBorder="1" applyAlignment="1">
      <alignment horizontal="center" vertical="center"/>
    </xf>
    <xf numFmtId="0" fontId="0" fillId="26" borderId="1" xfId="0" applyFill="1" applyBorder="1" applyAlignment="1">
      <alignment horizontal="left"/>
    </xf>
    <xf numFmtId="1" fontId="0" fillId="26" borderId="1" xfId="0" applyNumberFormat="1" applyFill="1" applyBorder="1" applyAlignment="1">
      <alignment horizontal="left"/>
    </xf>
    <xf numFmtId="14" fontId="0" fillId="26" borderId="1" xfId="0" applyNumberFormat="1" applyFill="1" applyBorder="1" applyAlignment="1">
      <alignment horizontal="left"/>
    </xf>
    <xf numFmtId="15" fontId="0" fillId="26" borderId="1" xfId="0" applyNumberFormat="1" applyFill="1" applyBorder="1"/>
    <xf numFmtId="0" fontId="59" fillId="26" borderId="1" xfId="0" applyFont="1" applyFill="1" applyBorder="1"/>
    <xf numFmtId="0" fontId="0" fillId="46" borderId="1" xfId="0" applyFill="1" applyBorder="1" applyAlignment="1">
      <alignment horizontal="left"/>
    </xf>
    <xf numFmtId="2" fontId="0" fillId="46" borderId="1" xfId="0" applyNumberFormat="1" applyFill="1" applyBorder="1" applyAlignment="1">
      <alignment horizontal="left"/>
    </xf>
    <xf numFmtId="1" fontId="0" fillId="47" borderId="1" xfId="0" applyNumberFormat="1" applyFill="1" applyBorder="1" applyAlignment="1">
      <alignment horizontal="center" vertical="center"/>
    </xf>
    <xf numFmtId="0" fontId="0" fillId="47" borderId="1" xfId="0" applyFill="1" applyBorder="1" applyAlignment="1">
      <alignment horizontal="center" vertical="center"/>
    </xf>
    <xf numFmtId="0" fontId="0" fillId="47" borderId="1" xfId="0" applyFill="1" applyBorder="1" applyAlignment="1">
      <alignment horizontal="left"/>
    </xf>
    <xf numFmtId="1" fontId="0" fillId="47" borderId="1" xfId="0" applyNumberFormat="1" applyFill="1" applyBorder="1" applyAlignment="1">
      <alignment horizontal="left"/>
    </xf>
    <xf numFmtId="0" fontId="0" fillId="47" borderId="1" xfId="0" applyFill="1" applyBorder="1"/>
    <xf numFmtId="14" fontId="0" fillId="47" borderId="1" xfId="0" applyNumberFormat="1" applyFill="1" applyBorder="1" applyAlignment="1">
      <alignment horizontal="left"/>
    </xf>
    <xf numFmtId="0" fontId="49" fillId="48" borderId="1" xfId="5" applyFill="1" applyBorder="1"/>
    <xf numFmtId="0" fontId="0" fillId="49" borderId="1" xfId="0" applyFill="1" applyBorder="1" applyAlignment="1">
      <alignment horizontal="left"/>
    </xf>
    <xf numFmtId="1" fontId="0" fillId="49" borderId="1" xfId="0" applyNumberFormat="1" applyFill="1" applyBorder="1" applyAlignment="1">
      <alignment horizontal="left"/>
    </xf>
    <xf numFmtId="14" fontId="0" fillId="46" borderId="1" xfId="0" applyNumberFormat="1" applyFill="1" applyBorder="1" applyAlignment="1">
      <alignment horizontal="left"/>
    </xf>
    <xf numFmtId="14" fontId="0" fillId="49" borderId="1" xfId="0" applyNumberFormat="1" applyFill="1" applyBorder="1" applyAlignment="1">
      <alignment horizontal="left"/>
    </xf>
    <xf numFmtId="2" fontId="0" fillId="49" borderId="1" xfId="0" applyNumberFormat="1" applyFill="1" applyBorder="1" applyAlignment="1">
      <alignment horizontal="left"/>
    </xf>
    <xf numFmtId="1" fontId="0" fillId="46" borderId="1" xfId="0" applyNumberFormat="1" applyFill="1" applyBorder="1" applyAlignment="1">
      <alignment horizontal="left"/>
    </xf>
    <xf numFmtId="1" fontId="47" fillId="26" borderId="1" xfId="2" applyNumberFormat="1" applyFill="1" applyBorder="1" applyAlignment="1">
      <alignment horizontal="center" vertical="center"/>
    </xf>
    <xf numFmtId="0" fontId="47" fillId="26" borderId="1" xfId="2" applyFill="1" applyBorder="1"/>
    <xf numFmtId="0" fontId="47" fillId="26" borderId="1" xfId="2" applyFill="1" applyBorder="1" applyAlignment="1">
      <alignment horizontal="center" vertical="center"/>
    </xf>
    <xf numFmtId="0" fontId="45" fillId="26" borderId="1" xfId="2" applyFont="1" applyFill="1" applyBorder="1" applyAlignment="1">
      <alignment horizontal="left"/>
    </xf>
    <xf numFmtId="2" fontId="45" fillId="26" borderId="1" xfId="2" applyNumberFormat="1" applyFont="1" applyFill="1" applyBorder="1" applyAlignment="1">
      <alignment horizontal="left"/>
    </xf>
    <xf numFmtId="1" fontId="45" fillId="26" borderId="1" xfId="2" applyNumberFormat="1" applyFont="1" applyFill="1" applyBorder="1" applyAlignment="1">
      <alignment horizontal="left"/>
    </xf>
    <xf numFmtId="1" fontId="47" fillId="26" borderId="1" xfId="2" applyNumberFormat="1" applyFill="1" applyBorder="1" applyAlignment="1">
      <alignment horizontal="left"/>
    </xf>
    <xf numFmtId="0" fontId="45" fillId="26" borderId="1" xfId="2" applyFont="1" applyFill="1" applyBorder="1"/>
    <xf numFmtId="14" fontId="47" fillId="26" borderId="1" xfId="2" applyNumberFormat="1" applyFill="1" applyBorder="1" applyAlignment="1">
      <alignment horizontal="left"/>
    </xf>
    <xf numFmtId="2" fontId="0" fillId="47" borderId="1" xfId="0" applyNumberFormat="1" applyFill="1" applyBorder="1" applyAlignment="1">
      <alignment horizontal="left"/>
    </xf>
    <xf numFmtId="14" fontId="0" fillId="33" borderId="1" xfId="0" applyNumberFormat="1" applyFill="1" applyBorder="1" applyAlignment="1">
      <alignment horizontal="left"/>
    </xf>
    <xf numFmtId="15" fontId="0" fillId="0" borderId="1" xfId="0" applyNumberFormat="1" applyBorder="1"/>
    <xf numFmtId="15" fontId="10" fillId="5" borderId="1" xfId="0" applyNumberFormat="1" applyFont="1" applyFill="1" applyBorder="1" applyAlignment="1">
      <alignment horizontal="center" vertical="center"/>
    </xf>
    <xf numFmtId="15" fontId="10" fillId="26" borderId="1" xfId="0" applyNumberFormat="1" applyFont="1" applyFill="1" applyBorder="1" applyAlignment="1">
      <alignment horizontal="center" vertical="center"/>
    </xf>
    <xf numFmtId="9" fontId="26" fillId="0" borderId="20" xfId="0" applyNumberFormat="1" applyFont="1" applyBorder="1" applyAlignment="1">
      <alignment horizontal="center" vertical="center" wrapText="1"/>
    </xf>
    <xf numFmtId="0" fontId="25" fillId="0" borderId="20" xfId="0" applyFont="1" applyBorder="1" applyAlignment="1" applyProtection="1">
      <alignment vertical="center"/>
      <protection locked="0"/>
    </xf>
    <xf numFmtId="0" fontId="25" fillId="2" borderId="43" xfId="0" applyFont="1" applyFill="1" applyBorder="1" applyAlignment="1">
      <alignment horizontal="center" vertical="center"/>
    </xf>
    <xf numFmtId="0" fontId="25" fillId="2" borderId="44" xfId="0" applyFont="1" applyFill="1" applyBorder="1" applyAlignment="1">
      <alignment horizontal="center" vertical="center"/>
    </xf>
    <xf numFmtId="0" fontId="25" fillId="29" borderId="45" xfId="0" applyFont="1" applyFill="1" applyBorder="1" applyAlignment="1">
      <alignment horizontal="center" vertical="center"/>
    </xf>
    <xf numFmtId="15" fontId="10" fillId="26" borderId="1" xfId="0" applyNumberFormat="1" applyFont="1" applyFill="1" applyBorder="1"/>
    <xf numFmtId="14" fontId="59" fillId="26" borderId="1" xfId="2" applyNumberFormat="1" applyFont="1" applyFill="1" applyBorder="1" applyAlignment="1">
      <alignment horizontal="left"/>
    </xf>
    <xf numFmtId="0" fontId="10" fillId="40" borderId="1" xfId="0" applyFont="1" applyFill="1" applyBorder="1" applyAlignment="1">
      <alignment horizontal="left"/>
    </xf>
    <xf numFmtId="0" fontId="47" fillId="21" borderId="1" xfId="2" applyBorder="1" applyAlignment="1">
      <alignment horizontal="center" vertical="center"/>
    </xf>
    <xf numFmtId="0" fontId="47" fillId="21" borderId="1" xfId="2" applyBorder="1"/>
    <xf numFmtId="15" fontId="47" fillId="21" borderId="1" xfId="2" applyNumberFormat="1" applyBorder="1"/>
    <xf numFmtId="165" fontId="25" fillId="26" borderId="1" xfId="0" applyNumberFormat="1" applyFont="1" applyFill="1" applyBorder="1" applyAlignment="1">
      <alignment horizontal="center" vertical="center"/>
    </xf>
    <xf numFmtId="165" fontId="25" fillId="30" borderId="1" xfId="0" applyNumberFormat="1" applyFont="1" applyFill="1" applyBorder="1" applyAlignment="1">
      <alignment horizontal="center" vertical="center"/>
    </xf>
    <xf numFmtId="165" fontId="57" fillId="26" borderId="1" xfId="0" applyNumberFormat="1" applyFont="1" applyFill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13" xfId="0" applyNumberFormat="1" applyFont="1" applyBorder="1" applyAlignment="1">
      <alignment horizontal="center" vertical="center"/>
    </xf>
    <xf numFmtId="165" fontId="25" fillId="0" borderId="18" xfId="0" applyNumberFormat="1" applyFont="1" applyBorder="1" applyAlignment="1">
      <alignment horizontal="center" vertical="center"/>
    </xf>
    <xf numFmtId="165" fontId="25" fillId="26" borderId="20" xfId="0" applyNumberFormat="1" applyFont="1" applyFill="1" applyBorder="1" applyAlignment="1">
      <alignment horizontal="center" vertical="center"/>
    </xf>
    <xf numFmtId="165" fontId="25" fillId="0" borderId="20" xfId="0" applyNumberFormat="1" applyFont="1" applyBorder="1" applyAlignment="1">
      <alignment horizontal="center" vertical="center"/>
    </xf>
    <xf numFmtId="165" fontId="25" fillId="26" borderId="9" xfId="0" applyNumberFormat="1" applyFont="1" applyFill="1" applyBorder="1" applyAlignment="1">
      <alignment horizontal="center" vertical="center"/>
    </xf>
    <xf numFmtId="165" fontId="57" fillId="26" borderId="0" xfId="5" applyNumberFormat="1" applyFont="1" applyFill="1" applyAlignment="1">
      <alignment horizontal="center" vertical="center"/>
    </xf>
    <xf numFmtId="165" fontId="25" fillId="29" borderId="33" xfId="0" applyNumberFormat="1" applyFont="1" applyFill="1" applyBorder="1" applyAlignment="1">
      <alignment horizontal="center" vertical="center"/>
    </xf>
    <xf numFmtId="165" fontId="25" fillId="0" borderId="33" xfId="0" applyNumberFormat="1" applyFont="1" applyBorder="1" applyAlignment="1">
      <alignment horizontal="center" vertical="center"/>
    </xf>
    <xf numFmtId="0" fontId="3" fillId="33" borderId="1" xfId="0" applyFon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left"/>
    </xf>
    <xf numFmtId="15" fontId="0" fillId="26" borderId="1" xfId="0" applyNumberForma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15" fontId="7" fillId="30" borderId="1" xfId="0" applyNumberFormat="1" applyFont="1" applyFill="1" applyBorder="1" applyAlignment="1">
      <alignment horizontal="center" vertical="center"/>
    </xf>
    <xf numFmtId="0" fontId="7" fillId="32" borderId="1" xfId="0" applyFont="1" applyFill="1" applyBorder="1" applyAlignment="1">
      <alignment horizontal="center" vertical="center"/>
    </xf>
    <xf numFmtId="0" fontId="30" fillId="0" borderId="0" xfId="0" applyFont="1"/>
    <xf numFmtId="15" fontId="10" fillId="33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vertical="center" wrapText="1"/>
    </xf>
    <xf numFmtId="1" fontId="0" fillId="34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horizontal="left"/>
    </xf>
    <xf numFmtId="2" fontId="0" fillId="34" borderId="1" xfId="0" applyNumberFormat="1" applyFill="1" applyBorder="1" applyAlignment="1">
      <alignment horizontal="left"/>
    </xf>
    <xf numFmtId="1" fontId="0" fillId="34" borderId="9" xfId="0" applyNumberFormat="1" applyFill="1" applyBorder="1" applyAlignment="1">
      <alignment horizontal="center" vertical="center"/>
    </xf>
    <xf numFmtId="0" fontId="0" fillId="34" borderId="9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/>
    </xf>
    <xf numFmtId="49" fontId="47" fillId="21" borderId="1" xfId="2" applyNumberFormat="1" applyBorder="1" applyAlignment="1" applyProtection="1">
      <alignment horizontal="center" vertical="center"/>
    </xf>
    <xf numFmtId="165" fontId="47" fillId="21" borderId="1" xfId="2" applyNumberFormat="1" applyBorder="1" applyAlignment="1" applyProtection="1">
      <alignment horizontal="center" vertical="center"/>
    </xf>
    <xf numFmtId="0" fontId="47" fillId="21" borderId="1" xfId="2" applyBorder="1" applyAlignment="1" applyProtection="1">
      <alignment horizontal="center" vertical="center"/>
      <protection locked="0"/>
    </xf>
    <xf numFmtId="0" fontId="47" fillId="21" borderId="1" xfId="2" applyBorder="1" applyAlignment="1">
      <alignment vertical="center"/>
    </xf>
    <xf numFmtId="0" fontId="47" fillId="21" borderId="0" xfId="2" applyAlignment="1">
      <alignment vertical="center"/>
    </xf>
    <xf numFmtId="0" fontId="47" fillId="21" borderId="0" xfId="2"/>
    <xf numFmtId="165" fontId="28" fillId="26" borderId="1" xfId="0" applyNumberFormat="1" applyFont="1" applyFill="1" applyBorder="1" applyAlignment="1" applyProtection="1">
      <alignment horizontal="center"/>
      <protection locked="0"/>
    </xf>
    <xf numFmtId="165" fontId="28" fillId="0" borderId="1" xfId="0" applyNumberFormat="1" applyFont="1" applyBorder="1" applyAlignment="1" applyProtection="1">
      <alignment horizontal="center"/>
      <protection locked="0"/>
    </xf>
    <xf numFmtId="165" fontId="28" fillId="0" borderId="1" xfId="0" applyNumberFormat="1" applyFont="1" applyBorder="1" applyAlignment="1">
      <alignment horizontal="center" vertical="center"/>
    </xf>
    <xf numFmtId="14" fontId="10" fillId="27" borderId="1" xfId="0" applyNumberFormat="1" applyFont="1" applyFill="1" applyBorder="1" applyAlignment="1">
      <alignment horizontal="left"/>
    </xf>
    <xf numFmtId="2" fontId="10" fillId="0" borderId="1" xfId="0" applyNumberFormat="1" applyFont="1" applyBorder="1" applyAlignment="1">
      <alignment horizontal="left"/>
    </xf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0" xfId="0" applyBorder="1" applyAlignment="1">
      <alignment horizontal="left" vertical="center"/>
    </xf>
    <xf numFmtId="1" fontId="0" fillId="0" borderId="20" xfId="0" applyNumberFormat="1" applyBorder="1" applyAlignment="1">
      <alignment horizontal="left"/>
    </xf>
    <xf numFmtId="14" fontId="0" fillId="0" borderId="20" xfId="0" applyNumberFormat="1" applyBorder="1" applyAlignment="1">
      <alignment horizontal="left"/>
    </xf>
    <xf numFmtId="1" fontId="0" fillId="50" borderId="1" xfId="0" applyNumberFormat="1" applyFill="1" applyBorder="1" applyAlignment="1">
      <alignment horizontal="center" vertical="center"/>
    </xf>
    <xf numFmtId="0" fontId="49" fillId="19" borderId="1" xfId="5" applyFill="1" applyBorder="1"/>
    <xf numFmtId="0" fontId="0" fillId="50" borderId="1" xfId="0" applyFill="1" applyBorder="1" applyAlignment="1">
      <alignment horizontal="center" vertical="center"/>
    </xf>
    <xf numFmtId="0" fontId="0" fillId="51" borderId="1" xfId="0" applyFill="1" applyBorder="1" applyAlignment="1">
      <alignment horizontal="left"/>
    </xf>
    <xf numFmtId="49" fontId="54" fillId="50" borderId="1" xfId="0" applyNumberFormat="1" applyFont="1" applyFill="1" applyBorder="1" applyAlignment="1">
      <alignment horizontal="center" vertical="center"/>
    </xf>
    <xf numFmtId="0" fontId="0" fillId="52" borderId="1" xfId="0" applyFill="1" applyBorder="1" applyAlignment="1">
      <alignment horizontal="left"/>
    </xf>
    <xf numFmtId="2" fontId="0" fillId="51" borderId="1" xfId="0" applyNumberFormat="1" applyFill="1" applyBorder="1" applyAlignment="1">
      <alignment horizontal="left"/>
    </xf>
    <xf numFmtId="1" fontId="0" fillId="52" borderId="1" xfId="0" applyNumberFormat="1" applyFill="1" applyBorder="1" applyAlignment="1">
      <alignment horizontal="left"/>
    </xf>
    <xf numFmtId="0" fontId="0" fillId="50" borderId="1" xfId="0" applyFill="1" applyBorder="1"/>
    <xf numFmtId="14" fontId="0" fillId="50" borderId="1" xfId="0" applyNumberFormat="1" applyFill="1" applyBorder="1" applyAlignment="1">
      <alignment horizontal="left"/>
    </xf>
    <xf numFmtId="15" fontId="10" fillId="50" borderId="1" xfId="0" applyNumberFormat="1" applyFont="1" applyFill="1" applyBorder="1"/>
    <xf numFmtId="2" fontId="0" fillId="52" borderId="1" xfId="0" applyNumberFormat="1" applyFill="1" applyBorder="1" applyAlignment="1">
      <alignment horizontal="left"/>
    </xf>
    <xf numFmtId="1" fontId="0" fillId="51" borderId="1" xfId="0" applyNumberFormat="1" applyFill="1" applyBorder="1" applyAlignment="1">
      <alignment horizontal="left"/>
    </xf>
    <xf numFmtId="15" fontId="0" fillId="50" borderId="1" xfId="0" applyNumberFormat="1" applyFill="1" applyBorder="1"/>
    <xf numFmtId="0" fontId="10" fillId="51" borderId="1" xfId="0" applyFont="1" applyFill="1" applyBorder="1" applyAlignment="1">
      <alignment horizontal="left"/>
    </xf>
    <xf numFmtId="0" fontId="47" fillId="19" borderId="1" xfId="2" applyFill="1" applyBorder="1" applyAlignment="1">
      <alignment horizontal="left"/>
    </xf>
    <xf numFmtId="1" fontId="47" fillId="19" borderId="1" xfId="2" applyNumberFormat="1" applyFill="1" applyBorder="1" applyAlignment="1">
      <alignment horizontal="center" vertical="center"/>
    </xf>
    <xf numFmtId="0" fontId="47" fillId="19" borderId="1" xfId="2" applyFill="1" applyBorder="1" applyAlignment="1">
      <alignment horizontal="center" vertical="center"/>
    </xf>
    <xf numFmtId="2" fontId="47" fillId="19" borderId="1" xfId="2" applyNumberFormat="1" applyFill="1" applyBorder="1" applyAlignment="1">
      <alignment horizontal="left"/>
    </xf>
    <xf numFmtId="1" fontId="47" fillId="19" borderId="1" xfId="2" applyNumberFormat="1" applyFill="1" applyBorder="1" applyAlignment="1">
      <alignment horizontal="left"/>
    </xf>
    <xf numFmtId="0" fontId="47" fillId="19" borderId="1" xfId="2" applyFill="1" applyBorder="1"/>
    <xf numFmtId="14" fontId="47" fillId="19" borderId="1" xfId="2" applyNumberFormat="1" applyFill="1" applyBorder="1" applyAlignment="1">
      <alignment horizontal="left"/>
    </xf>
    <xf numFmtId="9" fontId="25" fillId="5" borderId="16" xfId="0" applyNumberFormat="1" applyFont="1" applyFill="1" applyBorder="1" applyAlignment="1">
      <alignment horizontal="center" vertical="center" wrapText="1"/>
    </xf>
    <xf numFmtId="0" fontId="0" fillId="47" borderId="1" xfId="0" applyFill="1" applyBorder="1" applyAlignment="1">
      <alignment horizontal="left" vertical="center"/>
    </xf>
    <xf numFmtId="0" fontId="0" fillId="47" borderId="20" xfId="0" applyFill="1" applyBorder="1" applyAlignment="1">
      <alignment horizontal="left" vertical="center"/>
    </xf>
    <xf numFmtId="1" fontId="0" fillId="47" borderId="20" xfId="0" applyNumberFormat="1" applyFill="1" applyBorder="1" applyAlignment="1">
      <alignment horizontal="left"/>
    </xf>
    <xf numFmtId="0" fontId="0" fillId="47" borderId="20" xfId="0" applyFill="1" applyBorder="1"/>
    <xf numFmtId="14" fontId="0" fillId="47" borderId="20" xfId="0" applyNumberFormat="1" applyFill="1" applyBorder="1" applyAlignment="1">
      <alignment horizontal="left"/>
    </xf>
    <xf numFmtId="0" fontId="10" fillId="0" borderId="1" xfId="0" applyFont="1" applyBorder="1" applyAlignment="1">
      <alignment wrapText="1"/>
    </xf>
    <xf numFmtId="9" fontId="47" fillId="21" borderId="20" xfId="2" applyNumberFormat="1" applyBorder="1" applyAlignment="1">
      <alignment horizontal="center" vertical="center"/>
    </xf>
    <xf numFmtId="165" fontId="47" fillId="21" borderId="33" xfId="2" applyNumberFormat="1" applyBorder="1" applyAlignment="1">
      <alignment horizontal="center" vertical="center" shrinkToFit="1"/>
    </xf>
    <xf numFmtId="15" fontId="47" fillId="21" borderId="1" xfId="2" applyNumberFormat="1" applyBorder="1" applyAlignment="1">
      <alignment horizontal="center" vertical="center"/>
    </xf>
    <xf numFmtId="15" fontId="47" fillId="21" borderId="1" xfId="2" applyNumberFormat="1" applyBorder="1" applyAlignment="1">
      <alignment horizontal="center" vertical="center" shrinkToFit="1"/>
    </xf>
    <xf numFmtId="0" fontId="10" fillId="34" borderId="1" xfId="0" applyFont="1" applyFill="1" applyBorder="1"/>
    <xf numFmtId="0" fontId="10" fillId="26" borderId="1" xfId="0" applyFont="1" applyFill="1" applyBorder="1" applyAlignment="1">
      <alignment horizontal="left"/>
    </xf>
    <xf numFmtId="1" fontId="0" fillId="43" borderId="1" xfId="0" applyNumberFormat="1" applyFill="1" applyBorder="1" applyAlignment="1">
      <alignment horizontal="center" vertical="center"/>
    </xf>
    <xf numFmtId="0" fontId="0" fillId="43" borderId="1" xfId="0" applyFill="1" applyBorder="1" applyAlignment="1">
      <alignment horizontal="center" vertical="center"/>
    </xf>
    <xf numFmtId="0" fontId="0" fillId="43" borderId="1" xfId="0" applyFill="1" applyBorder="1" applyAlignment="1">
      <alignment horizontal="left"/>
    </xf>
    <xf numFmtId="0" fontId="0" fillId="43" borderId="9" xfId="0" applyFill="1" applyBorder="1" applyAlignment="1">
      <alignment horizontal="left"/>
    </xf>
    <xf numFmtId="2" fontId="0" fillId="43" borderId="1" xfId="0" applyNumberFormat="1" applyFill="1" applyBorder="1" applyAlignment="1">
      <alignment horizontal="left"/>
    </xf>
    <xf numFmtId="1" fontId="0" fillId="43" borderId="1" xfId="0" applyNumberFormat="1" applyFill="1" applyBorder="1" applyAlignment="1">
      <alignment horizontal="left"/>
    </xf>
    <xf numFmtId="0" fontId="0" fillId="43" borderId="1" xfId="0" applyFill="1" applyBorder="1"/>
    <xf numFmtId="14" fontId="0" fillId="43" borderId="1" xfId="0" applyNumberFormat="1" applyFill="1" applyBorder="1" applyAlignment="1">
      <alignment horizontal="left"/>
    </xf>
    <xf numFmtId="0" fontId="0" fillId="43" borderId="0" xfId="0" applyFill="1"/>
    <xf numFmtId="0" fontId="10" fillId="40" borderId="1" xfId="0" applyFont="1" applyFill="1" applyBorder="1"/>
    <xf numFmtId="15" fontId="45" fillId="0" borderId="1" xfId="2" applyNumberFormat="1" applyFont="1" applyFill="1" applyBorder="1"/>
    <xf numFmtId="0" fontId="25" fillId="30" borderId="9" xfId="0" applyFont="1" applyFill="1" applyBorder="1" applyAlignment="1">
      <alignment horizontal="center" vertical="center"/>
    </xf>
    <xf numFmtId="0" fontId="25" fillId="30" borderId="16" xfId="0" applyFont="1" applyFill="1" applyBorder="1" applyAlignment="1">
      <alignment horizontal="center" vertical="center"/>
    </xf>
    <xf numFmtId="0" fontId="26" fillId="0" borderId="20" xfId="0" applyFont="1" applyBorder="1" applyAlignment="1" applyProtection="1">
      <alignment horizontal="center" vertical="center"/>
      <protection locked="0"/>
    </xf>
    <xf numFmtId="15" fontId="25" fillId="0" borderId="20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vertical="center"/>
    </xf>
    <xf numFmtId="165" fontId="25" fillId="41" borderId="20" xfId="5" applyNumberFormat="1" applyFont="1" applyFill="1" applyBorder="1" applyAlignment="1" applyProtection="1">
      <alignment horizontal="center" vertical="center"/>
    </xf>
    <xf numFmtId="49" fontId="56" fillId="37" borderId="4" xfId="0" applyNumberFormat="1" applyFont="1" applyFill="1" applyBorder="1" applyAlignment="1">
      <alignment horizontal="center" vertical="center"/>
    </xf>
    <xf numFmtId="0" fontId="60" fillId="26" borderId="0" xfId="8" applyFont="1" applyFill="1" applyAlignment="1">
      <alignment vertical="center"/>
    </xf>
    <xf numFmtId="0" fontId="60" fillId="26" borderId="0" xfId="8" applyFont="1" applyFill="1"/>
    <xf numFmtId="0" fontId="60" fillId="25" borderId="0" xfId="8" applyFont="1"/>
    <xf numFmtId="0" fontId="26" fillId="0" borderId="0" xfId="0" applyFont="1" applyAlignment="1">
      <alignment horizontal="center" vertical="center"/>
    </xf>
    <xf numFmtId="2" fontId="10" fillId="46" borderId="1" xfId="0" applyNumberFormat="1" applyFont="1" applyFill="1" applyBorder="1" applyAlignment="1">
      <alignment horizontal="left"/>
    </xf>
    <xf numFmtId="0" fontId="33" fillId="0" borderId="0" xfId="0" applyFont="1"/>
    <xf numFmtId="1" fontId="0" fillId="43" borderId="9" xfId="0" applyNumberFormat="1" applyFill="1" applyBorder="1" applyAlignment="1">
      <alignment horizontal="center" vertical="center"/>
    </xf>
    <xf numFmtId="0" fontId="0" fillId="43" borderId="9" xfId="0" applyFill="1" applyBorder="1" applyAlignment="1">
      <alignment horizontal="center" vertical="center"/>
    </xf>
    <xf numFmtId="2" fontId="0" fillId="43" borderId="9" xfId="0" applyNumberFormat="1" applyFill="1" applyBorder="1" applyAlignment="1">
      <alignment horizontal="left"/>
    </xf>
    <xf numFmtId="1" fontId="0" fillId="43" borderId="9" xfId="0" applyNumberFormat="1" applyFill="1" applyBorder="1" applyAlignment="1">
      <alignment horizontal="left"/>
    </xf>
    <xf numFmtId="0" fontId="0" fillId="43" borderId="9" xfId="0" applyFill="1" applyBorder="1"/>
    <xf numFmtId="14" fontId="0" fillId="43" borderId="9" xfId="0" applyNumberFormat="1" applyFill="1" applyBorder="1" applyAlignment="1">
      <alignment horizontal="left"/>
    </xf>
    <xf numFmtId="0" fontId="61" fillId="0" borderId="1" xfId="0" applyFont="1" applyBorder="1"/>
    <xf numFmtId="165" fontId="25" fillId="37" borderId="1" xfId="0" applyNumberFormat="1" applyFont="1" applyFill="1" applyBorder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2" fillId="26" borderId="1" xfId="0" applyFont="1" applyFill="1" applyBorder="1"/>
    <xf numFmtId="15" fontId="62" fillId="26" borderId="1" xfId="0" applyNumberFormat="1" applyFont="1" applyFill="1" applyBorder="1"/>
    <xf numFmtId="0" fontId="45" fillId="26" borderId="1" xfId="0" applyFont="1" applyFill="1" applyBorder="1" applyAlignment="1">
      <alignment horizontal="left"/>
    </xf>
    <xf numFmtId="2" fontId="45" fillId="26" borderId="1" xfId="0" applyNumberFormat="1" applyFont="1" applyFill="1" applyBorder="1" applyAlignment="1">
      <alignment horizontal="left"/>
    </xf>
    <xf numFmtId="1" fontId="45" fillId="26" borderId="1" xfId="0" applyNumberFormat="1" applyFont="1" applyFill="1" applyBorder="1" applyAlignment="1">
      <alignment horizontal="left"/>
    </xf>
    <xf numFmtId="0" fontId="45" fillId="26" borderId="1" xfId="0" applyFont="1" applyFill="1" applyBorder="1"/>
    <xf numFmtId="14" fontId="45" fillId="26" borderId="1" xfId="0" applyNumberFormat="1" applyFont="1" applyFill="1" applyBorder="1" applyAlignment="1">
      <alignment horizontal="left"/>
    </xf>
    <xf numFmtId="15" fontId="45" fillId="26" borderId="1" xfId="0" applyNumberFormat="1" applyFont="1" applyFill="1" applyBorder="1"/>
    <xf numFmtId="0" fontId="62" fillId="26" borderId="1" xfId="0" applyFont="1" applyFill="1" applyBorder="1" applyAlignment="1">
      <alignment horizontal="left"/>
    </xf>
    <xf numFmtId="2" fontId="62" fillId="26" borderId="1" xfId="0" applyNumberFormat="1" applyFont="1" applyFill="1" applyBorder="1" applyAlignment="1">
      <alignment horizontal="left"/>
    </xf>
    <xf numFmtId="1" fontId="62" fillId="26" borderId="1" xfId="0" applyNumberFormat="1" applyFont="1" applyFill="1" applyBorder="1" applyAlignment="1">
      <alignment horizontal="left"/>
    </xf>
    <xf numFmtId="14" fontId="62" fillId="26" borderId="1" xfId="0" applyNumberFormat="1" applyFont="1" applyFill="1" applyBorder="1" applyAlignment="1">
      <alignment horizontal="left"/>
    </xf>
    <xf numFmtId="0" fontId="10" fillId="27" borderId="1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0" fillId="0" borderId="1" xfId="0" applyFont="1" applyBorder="1" applyAlignment="1">
      <alignment horizontal="left"/>
    </xf>
    <xf numFmtId="17" fontId="10" fillId="46" borderId="1" xfId="0" quotePrefix="1" applyNumberFormat="1" applyFont="1" applyFill="1" applyBorder="1" applyAlignment="1">
      <alignment horizontal="left"/>
    </xf>
    <xf numFmtId="0" fontId="63" fillId="54" borderId="1" xfId="0" applyFont="1" applyFill="1" applyBorder="1"/>
    <xf numFmtId="1" fontId="63" fillId="54" borderId="1" xfId="0" applyNumberFormat="1" applyFont="1" applyFill="1" applyBorder="1" applyAlignment="1">
      <alignment horizontal="center" vertical="center"/>
    </xf>
    <xf numFmtId="0" fontId="63" fillId="54" borderId="1" xfId="0" applyFont="1" applyFill="1" applyBorder="1" applyAlignment="1">
      <alignment horizontal="center" vertical="center"/>
    </xf>
    <xf numFmtId="0" fontId="63" fillId="54" borderId="1" xfId="0" applyFont="1" applyFill="1" applyBorder="1" applyAlignment="1">
      <alignment horizontal="left"/>
    </xf>
    <xf numFmtId="0" fontId="63" fillId="54" borderId="9" xfId="0" applyFont="1" applyFill="1" applyBorder="1" applyAlignment="1">
      <alignment horizontal="left"/>
    </xf>
    <xf numFmtId="2" fontId="63" fillId="54" borderId="1" xfId="0" applyNumberFormat="1" applyFont="1" applyFill="1" applyBorder="1" applyAlignment="1">
      <alignment horizontal="left"/>
    </xf>
    <xf numFmtId="1" fontId="63" fillId="54" borderId="1" xfId="0" applyNumberFormat="1" applyFont="1" applyFill="1" applyBorder="1" applyAlignment="1">
      <alignment horizontal="left"/>
    </xf>
    <xf numFmtId="14" fontId="63" fillId="54" borderId="1" xfId="0" applyNumberFormat="1" applyFont="1" applyFill="1" applyBorder="1" applyAlignment="1">
      <alignment horizontal="left"/>
    </xf>
    <xf numFmtId="0" fontId="63" fillId="54" borderId="0" xfId="0" applyFont="1" applyFill="1"/>
    <xf numFmtId="14" fontId="10" fillId="54" borderId="1" xfId="0" applyNumberFormat="1" applyFont="1" applyFill="1" applyBorder="1" applyAlignment="1">
      <alignment horizontal="left"/>
    </xf>
    <xf numFmtId="14" fontId="10" fillId="40" borderId="1" xfId="0" applyNumberFormat="1" applyFont="1" applyFill="1" applyBorder="1" applyAlignment="1">
      <alignment horizontal="left"/>
    </xf>
    <xf numFmtId="2" fontId="10" fillId="38" borderId="1" xfId="0" applyNumberFormat="1" applyFont="1" applyFill="1" applyBorder="1" applyAlignment="1">
      <alignment horizontal="left"/>
    </xf>
    <xf numFmtId="2" fontId="10" fillId="26" borderId="1" xfId="0" applyNumberFormat="1" applyFont="1" applyFill="1" applyBorder="1" applyAlignment="1">
      <alignment horizontal="left"/>
    </xf>
    <xf numFmtId="0" fontId="0" fillId="34" borderId="1" xfId="0" applyFill="1" applyBorder="1" applyAlignment="1">
      <alignment horizontal="center"/>
    </xf>
    <xf numFmtId="0" fontId="0" fillId="47" borderId="20" xfId="0" applyFill="1" applyBorder="1" applyAlignment="1">
      <alignment horizontal="center" vertical="center"/>
    </xf>
    <xf numFmtId="0" fontId="10" fillId="40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0" fillId="51" borderId="1" xfId="0" applyFill="1" applyBorder="1" applyAlignment="1">
      <alignment horizontal="center" vertical="center"/>
    </xf>
    <xf numFmtId="2" fontId="10" fillId="49" borderId="1" xfId="0" applyNumberFormat="1" applyFont="1" applyFill="1" applyBorder="1" applyAlignment="1">
      <alignment horizontal="left"/>
    </xf>
    <xf numFmtId="0" fontId="0" fillId="26" borderId="26" xfId="0" applyFill="1" applyBorder="1"/>
    <xf numFmtId="0" fontId="0" fillId="47" borderId="26" xfId="0" applyFill="1" applyBorder="1"/>
    <xf numFmtId="0" fontId="0" fillId="40" borderId="26" xfId="0" applyFill="1" applyBorder="1"/>
    <xf numFmtId="0" fontId="0" fillId="34" borderId="26" xfId="0" applyFill="1" applyBorder="1"/>
    <xf numFmtId="0" fontId="62" fillId="26" borderId="26" xfId="0" applyFont="1" applyFill="1" applyBorder="1"/>
    <xf numFmtId="0" fontId="45" fillId="26" borderId="26" xfId="0" applyFont="1" applyFill="1" applyBorder="1"/>
    <xf numFmtId="0" fontId="0" fillId="0" borderId="32" xfId="0" applyBorder="1"/>
    <xf numFmtId="0" fontId="47" fillId="21" borderId="26" xfId="2" applyBorder="1"/>
    <xf numFmtId="0" fontId="0" fillId="38" borderId="26" xfId="0" applyFill="1" applyBorder="1"/>
    <xf numFmtId="0" fontId="0" fillId="27" borderId="26" xfId="0" applyFill="1" applyBorder="1"/>
    <xf numFmtId="15" fontId="0" fillId="47" borderId="1" xfId="0" applyNumberFormat="1" applyFill="1" applyBorder="1"/>
    <xf numFmtId="15" fontId="63" fillId="54" borderId="1" xfId="0" applyNumberFormat="1" applyFont="1" applyFill="1" applyBorder="1"/>
    <xf numFmtId="15" fontId="0" fillId="43" borderId="1" xfId="0" applyNumberFormat="1" applyFill="1" applyBorder="1"/>
    <xf numFmtId="2" fontId="10" fillId="47" borderId="1" xfId="0" applyNumberFormat="1" applyFont="1" applyFill="1" applyBorder="1" applyAlignment="1">
      <alignment horizontal="left"/>
    </xf>
    <xf numFmtId="0" fontId="10" fillId="49" borderId="1" xfId="0" applyFont="1" applyFill="1" applyBorder="1" applyAlignment="1">
      <alignment horizontal="center" vertical="center"/>
    </xf>
    <xf numFmtId="0" fontId="10" fillId="34" borderId="1" xfId="0" applyFont="1" applyFill="1" applyBorder="1" applyAlignment="1">
      <alignment horizontal="center" vertical="center"/>
    </xf>
    <xf numFmtId="0" fontId="10" fillId="47" borderId="1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26" borderId="1" xfId="0" applyNumberFormat="1" applyFill="1" applyBorder="1" applyAlignment="1">
      <alignment horizontal="center"/>
    </xf>
    <xf numFmtId="0" fontId="64" fillId="26" borderId="1" xfId="0" applyFont="1" applyFill="1" applyBorder="1" applyAlignment="1">
      <alignment horizontal="center" vertical="top"/>
    </xf>
    <xf numFmtId="1" fontId="0" fillId="0" borderId="1" xfId="0" applyNumberFormat="1" applyBorder="1" applyAlignment="1">
      <alignment horizontal="center"/>
    </xf>
    <xf numFmtId="1" fontId="0" fillId="47" borderId="1" xfId="0" applyNumberFormat="1" applyFill="1" applyBorder="1" applyAlignment="1">
      <alignment horizontal="center"/>
    </xf>
    <xf numFmtId="1" fontId="0" fillId="49" borderId="1" xfId="0" applyNumberFormat="1" applyFill="1" applyBorder="1" applyAlignment="1">
      <alignment horizontal="center"/>
    </xf>
    <xf numFmtId="1" fontId="0" fillId="47" borderId="20" xfId="0" applyNumberFormat="1" applyFill="1" applyBorder="1" applyAlignment="1">
      <alignment horizontal="center"/>
    </xf>
    <xf numFmtId="1" fontId="63" fillId="54" borderId="1" xfId="0" applyNumberFormat="1" applyFont="1" applyFill="1" applyBorder="1" applyAlignment="1">
      <alignment horizontal="center"/>
    </xf>
    <xf numFmtId="1" fontId="0" fillId="40" borderId="1" xfId="0" applyNumberFormat="1" applyFill="1" applyBorder="1" applyAlignment="1">
      <alignment horizontal="center"/>
    </xf>
    <xf numFmtId="1" fontId="0" fillId="27" borderId="1" xfId="0" applyNumberFormat="1" applyFill="1" applyBorder="1" applyAlignment="1">
      <alignment horizontal="center"/>
    </xf>
    <xf numFmtId="1" fontId="0" fillId="43" borderId="1" xfId="0" applyNumberFormat="1" applyFill="1" applyBorder="1" applyAlignment="1">
      <alignment horizontal="center"/>
    </xf>
    <xf numFmtId="1" fontId="0" fillId="43" borderId="9" xfId="0" applyNumberFormat="1" applyFill="1" applyBorder="1" applyAlignment="1">
      <alignment horizontal="center"/>
    </xf>
    <xf numFmtId="1" fontId="45" fillId="26" borderId="1" xfId="0" applyNumberFormat="1" applyFont="1" applyFill="1" applyBorder="1" applyAlignment="1">
      <alignment horizontal="center"/>
    </xf>
    <xf numFmtId="1" fontId="62" fillId="26" borderId="1" xfId="0" applyNumberFormat="1" applyFont="1" applyFill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50" borderId="1" xfId="0" applyNumberFormat="1" applyFill="1" applyBorder="1" applyAlignment="1">
      <alignment horizontal="center"/>
    </xf>
    <xf numFmtId="1" fontId="47" fillId="19" borderId="1" xfId="2" applyNumberFormat="1" applyFill="1" applyBorder="1" applyAlignment="1">
      <alignment horizontal="center"/>
    </xf>
    <xf numFmtId="1" fontId="0" fillId="38" borderId="1" xfId="0" applyNumberFormat="1" applyFill="1" applyBorder="1" applyAlignment="1">
      <alignment horizontal="center"/>
    </xf>
    <xf numFmtId="0" fontId="10" fillId="47" borderId="1" xfId="0" applyFont="1" applyFill="1" applyBorder="1" applyAlignment="1">
      <alignment horizontal="left"/>
    </xf>
    <xf numFmtId="0" fontId="10" fillId="47" borderId="20" xfId="0" applyFont="1" applyFill="1" applyBorder="1" applyAlignment="1">
      <alignment horizontal="left"/>
    </xf>
    <xf numFmtId="2" fontId="10" fillId="47" borderId="20" xfId="0" applyNumberFormat="1" applyFont="1" applyFill="1" applyBorder="1" applyAlignment="1">
      <alignment horizontal="left"/>
    </xf>
    <xf numFmtId="2" fontId="10" fillId="40" borderId="1" xfId="0" applyNumberFormat="1" applyFont="1" applyFill="1" applyBorder="1" applyAlignment="1">
      <alignment horizontal="left"/>
    </xf>
    <xf numFmtId="2" fontId="10" fillId="43" borderId="1" xfId="0" applyNumberFormat="1" applyFont="1" applyFill="1" applyBorder="1" applyAlignment="1">
      <alignment horizontal="left"/>
    </xf>
    <xf numFmtId="0" fontId="10" fillId="43" borderId="9" xfId="0" applyFont="1" applyFill="1" applyBorder="1" applyAlignment="1">
      <alignment horizontal="left"/>
    </xf>
    <xf numFmtId="0" fontId="10" fillId="27" borderId="9" xfId="0" applyFont="1" applyFill="1" applyBorder="1" applyAlignment="1">
      <alignment horizontal="left"/>
    </xf>
    <xf numFmtId="0" fontId="10" fillId="34" borderId="1" xfId="0" applyFont="1" applyFill="1" applyBorder="1" applyAlignment="1">
      <alignment horizontal="left"/>
    </xf>
    <xf numFmtId="0" fontId="0" fillId="55" borderId="1" xfId="0" applyFill="1" applyBorder="1"/>
    <xf numFmtId="0" fontId="0" fillId="55" borderId="0" xfId="0" applyFill="1"/>
    <xf numFmtId="0" fontId="0" fillId="55" borderId="0" xfId="0" applyFill="1" applyAlignment="1">
      <alignment horizontal="center" vertical="center"/>
    </xf>
    <xf numFmtId="0" fontId="0" fillId="55" borderId="0" xfId="0" applyFill="1" applyAlignment="1">
      <alignment horizontal="center"/>
    </xf>
    <xf numFmtId="0" fontId="52" fillId="26" borderId="1" xfId="0" applyFont="1" applyFill="1" applyBorder="1"/>
    <xf numFmtId="0" fontId="52" fillId="0" borderId="1" xfId="0" applyFont="1" applyBorder="1"/>
    <xf numFmtId="0" fontId="52" fillId="34" borderId="1" xfId="0" applyFont="1" applyFill="1" applyBorder="1"/>
    <xf numFmtId="0" fontId="52" fillId="47" borderId="1" xfId="0" applyFont="1" applyFill="1" applyBorder="1"/>
    <xf numFmtId="0" fontId="48" fillId="54" borderId="1" xfId="0" applyFont="1" applyFill="1" applyBorder="1"/>
    <xf numFmtId="0" fontId="52" fillId="40" borderId="1" xfId="0" applyFont="1" applyFill="1" applyBorder="1" applyAlignment="1">
      <alignment vertical="center"/>
    </xf>
    <xf numFmtId="0" fontId="52" fillId="27" borderId="1" xfId="0" applyFont="1" applyFill="1" applyBorder="1" applyAlignment="1">
      <alignment vertical="center"/>
    </xf>
    <xf numFmtId="0" fontId="52" fillId="43" borderId="1" xfId="0" applyFont="1" applyFill="1" applyBorder="1" applyAlignment="1">
      <alignment vertical="center"/>
    </xf>
    <xf numFmtId="0" fontId="52" fillId="43" borderId="9" xfId="0" applyFont="1" applyFill="1" applyBorder="1" applyAlignment="1">
      <alignment vertical="center"/>
    </xf>
    <xf numFmtId="0" fontId="52" fillId="50" borderId="1" xfId="0" applyFont="1" applyFill="1" applyBorder="1"/>
    <xf numFmtId="0" fontId="52" fillId="38" borderId="1" xfId="0" applyFont="1" applyFill="1" applyBorder="1"/>
    <xf numFmtId="0" fontId="52" fillId="27" borderId="1" xfId="0" applyFont="1" applyFill="1" applyBorder="1"/>
    <xf numFmtId="0" fontId="65" fillId="55" borderId="0" xfId="0" applyFont="1" applyFill="1"/>
    <xf numFmtId="49" fontId="65" fillId="37" borderId="1" xfId="0" applyNumberFormat="1" applyFont="1" applyFill="1" applyBorder="1" applyAlignment="1">
      <alignment vertical="center"/>
    </xf>
    <xf numFmtId="0" fontId="65" fillId="37" borderId="1" xfId="0" applyFont="1" applyFill="1" applyBorder="1" applyAlignment="1">
      <alignment vertical="center"/>
    </xf>
    <xf numFmtId="49" fontId="65" fillId="37" borderId="1" xfId="2" applyNumberFormat="1" applyFont="1" applyFill="1" applyBorder="1" applyAlignment="1" applyProtection="1">
      <alignment vertical="center"/>
    </xf>
    <xf numFmtId="49" fontId="65" fillId="26" borderId="1" xfId="0" applyNumberFormat="1" applyFont="1" applyFill="1" applyBorder="1" applyAlignment="1">
      <alignment vertical="center"/>
    </xf>
    <xf numFmtId="49" fontId="65" fillId="26" borderId="1" xfId="2" applyNumberFormat="1" applyFont="1" applyFill="1" applyBorder="1" applyAlignment="1" applyProtection="1">
      <alignment vertical="center"/>
    </xf>
    <xf numFmtId="0" fontId="65" fillId="0" borderId="1" xfId="0" applyFont="1" applyBorder="1"/>
    <xf numFmtId="0" fontId="66" fillId="19" borderId="1" xfId="2" applyFont="1" applyFill="1" applyBorder="1" applyAlignment="1"/>
    <xf numFmtId="0" fontId="65" fillId="0" borderId="0" xfId="0" applyFont="1"/>
    <xf numFmtId="0" fontId="10" fillId="43" borderId="1" xfId="0" applyFont="1" applyFill="1" applyBorder="1" applyAlignment="1">
      <alignment horizontal="center" vertical="center" wrapText="1"/>
    </xf>
    <xf numFmtId="0" fontId="10" fillId="43" borderId="1" xfId="0" applyFont="1" applyFill="1" applyBorder="1" applyAlignment="1">
      <alignment horizontal="center" vertical="center"/>
    </xf>
    <xf numFmtId="0" fontId="10" fillId="43" borderId="9" xfId="0" applyFont="1" applyFill="1" applyBorder="1" applyAlignment="1">
      <alignment horizontal="center" vertical="center"/>
    </xf>
    <xf numFmtId="0" fontId="52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" fontId="0" fillId="0" borderId="0" xfId="0" applyNumberFormat="1"/>
    <xf numFmtId="0" fontId="14" fillId="26" borderId="32" xfId="0" applyFont="1" applyFill="1" applyBorder="1" applyAlignment="1">
      <alignment horizontal="center" vertical="center" wrapText="1"/>
    </xf>
    <xf numFmtId="0" fontId="19" fillId="41" borderId="5" xfId="0" applyFont="1" applyFill="1" applyBorder="1" applyAlignment="1">
      <alignment horizontal="center" vertical="center"/>
    </xf>
    <xf numFmtId="15" fontId="20" fillId="26" borderId="50" xfId="0" applyNumberFormat="1" applyFont="1" applyFill="1" applyBorder="1" applyAlignment="1">
      <alignment horizontal="center"/>
    </xf>
    <xf numFmtId="0" fontId="20" fillId="56" borderId="42" xfId="0" applyFont="1" applyFill="1" applyBorder="1" applyAlignment="1">
      <alignment horizontal="center" vertical="center" wrapText="1"/>
    </xf>
    <xf numFmtId="0" fontId="20" fillId="56" borderId="51" xfId="0" applyFont="1" applyFill="1" applyBorder="1" applyAlignment="1">
      <alignment horizontal="center" vertical="center"/>
    </xf>
    <xf numFmtId="0" fontId="19" fillId="47" borderId="52" xfId="0" applyFont="1" applyFill="1" applyBorder="1" applyAlignment="1">
      <alignment horizontal="center" vertical="center"/>
    </xf>
    <xf numFmtId="9" fontId="19" fillId="47" borderId="50" xfId="11" applyFont="1" applyFill="1" applyBorder="1" applyAlignment="1">
      <alignment horizontal="center" vertical="center"/>
    </xf>
    <xf numFmtId="0" fontId="14" fillId="26" borderId="43" xfId="0" applyFont="1" applyFill="1" applyBorder="1" applyAlignment="1">
      <alignment horizontal="center" vertical="center" wrapText="1"/>
    </xf>
    <xf numFmtId="0" fontId="16" fillId="41" borderId="11" xfId="0" applyFont="1" applyFill="1" applyBorder="1" applyAlignment="1">
      <alignment horizontal="center" vertical="center" wrapText="1"/>
    </xf>
    <xf numFmtId="0" fontId="14" fillId="26" borderId="53" xfId="0" applyFont="1" applyFill="1" applyBorder="1" applyAlignment="1">
      <alignment horizontal="center" vertical="center" wrapText="1"/>
    </xf>
    <xf numFmtId="0" fontId="14" fillId="26" borderId="54" xfId="0" applyFont="1" applyFill="1" applyBorder="1" applyAlignment="1">
      <alignment horizontal="center" vertical="center"/>
    </xf>
    <xf numFmtId="0" fontId="14" fillId="26" borderId="55" xfId="0" applyFont="1" applyFill="1" applyBorder="1" applyAlignment="1">
      <alignment horizontal="center" vertical="center" wrapText="1"/>
    </xf>
    <xf numFmtId="0" fontId="16" fillId="41" borderId="56" xfId="0" applyFont="1" applyFill="1" applyBorder="1" applyAlignment="1">
      <alignment horizontal="center" vertical="center"/>
    </xf>
    <xf numFmtId="0" fontId="14" fillId="41" borderId="35" xfId="0" applyFont="1" applyFill="1" applyBorder="1" applyAlignment="1">
      <alignment horizontal="center"/>
    </xf>
    <xf numFmtId="0" fontId="14" fillId="26" borderId="23" xfId="0" applyFont="1" applyFill="1" applyBorder="1" applyAlignment="1">
      <alignment horizontal="center" vertical="center" wrapText="1"/>
    </xf>
    <xf numFmtId="0" fontId="21" fillId="26" borderId="43" xfId="0" applyFont="1" applyFill="1" applyBorder="1" applyAlignment="1">
      <alignment horizontal="center" vertical="center" wrapText="1"/>
    </xf>
    <xf numFmtId="0" fontId="21" fillId="26" borderId="54" xfId="0" applyFont="1" applyFill="1" applyBorder="1" applyAlignment="1">
      <alignment horizontal="center" vertical="center" wrapText="1"/>
    </xf>
    <xf numFmtId="0" fontId="36" fillId="42" borderId="52" xfId="0" applyFont="1" applyFill="1" applyBorder="1" applyAlignment="1">
      <alignment horizontal="center" vertical="center" wrapText="1"/>
    </xf>
    <xf numFmtId="0" fontId="36" fillId="42" borderId="57" xfId="0" applyFont="1" applyFill="1" applyBorder="1" applyAlignment="1">
      <alignment horizontal="center" vertical="center" wrapText="1"/>
    </xf>
    <xf numFmtId="0" fontId="36" fillId="26" borderId="43" xfId="0" applyFont="1" applyFill="1" applyBorder="1" applyAlignment="1">
      <alignment horizontal="center" vertical="center" wrapText="1"/>
    </xf>
    <xf numFmtId="0" fontId="36" fillId="26" borderId="51" xfId="0" applyFont="1" applyFill="1" applyBorder="1" applyAlignment="1">
      <alignment horizontal="center" vertical="center" wrapText="1"/>
    </xf>
    <xf numFmtId="0" fontId="25" fillId="30" borderId="39" xfId="0" applyFont="1" applyFill="1" applyBorder="1" applyAlignment="1">
      <alignment horizontal="center" vertical="center"/>
    </xf>
    <xf numFmtId="0" fontId="21" fillId="47" borderId="50" xfId="0" applyFont="1" applyFill="1" applyBorder="1" applyAlignment="1">
      <alignment horizontal="center" vertical="center" wrapText="1"/>
    </xf>
    <xf numFmtId="0" fontId="21" fillId="42" borderId="58" xfId="0" applyFont="1" applyFill="1" applyBorder="1" applyAlignment="1">
      <alignment horizontal="center" vertical="center" wrapText="1"/>
    </xf>
    <xf numFmtId="0" fontId="0" fillId="26" borderId="26" xfId="0" applyFill="1" applyBorder="1" applyAlignment="1">
      <alignment horizontal="center" vertical="center"/>
    </xf>
    <xf numFmtId="0" fontId="10" fillId="49" borderId="3" xfId="0" applyFont="1" applyFill="1" applyBorder="1" applyAlignment="1">
      <alignment horizontal="center" vertical="center"/>
    </xf>
    <xf numFmtId="49" fontId="47" fillId="21" borderId="1" xfId="2" applyNumberFormat="1" applyBorder="1" applyAlignment="1" applyProtection="1">
      <alignment horizontal="center"/>
      <protection locked="0"/>
    </xf>
    <xf numFmtId="165" fontId="47" fillId="21" borderId="1" xfId="2" applyNumberForma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left" vertical="center" wrapText="1"/>
      <protection locked="0"/>
    </xf>
    <xf numFmtId="0" fontId="10" fillId="26" borderId="1" xfId="0" applyFont="1" applyFill="1" applyBorder="1" applyAlignment="1" applyProtection="1">
      <alignment horizontal="left" vertical="center" wrapText="1"/>
      <protection locked="0"/>
    </xf>
    <xf numFmtId="15" fontId="0" fillId="34" borderId="1" xfId="0" applyNumberFormat="1" applyFill="1" applyBorder="1"/>
    <xf numFmtId="15" fontId="0" fillId="40" borderId="1" xfId="0" applyNumberFormat="1" applyFill="1" applyBorder="1"/>
    <xf numFmtId="15" fontId="0" fillId="27" borderId="1" xfId="0" applyNumberFormat="1" applyFill="1" applyBorder="1"/>
    <xf numFmtId="49" fontId="7" fillId="0" borderId="30" xfId="0" applyNumberFormat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3" borderId="28" xfId="0" applyNumberFormat="1" applyFill="1" applyBorder="1" applyProtection="1">
      <protection hidden="1"/>
    </xf>
    <xf numFmtId="49" fontId="7" fillId="9" borderId="0" xfId="0" applyNumberFormat="1" applyFont="1" applyFill="1" applyAlignment="1">
      <alignment horizontal="center"/>
    </xf>
    <xf numFmtId="0" fontId="0" fillId="5" borderId="0" xfId="0" applyFill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10" fillId="0" borderId="16" xfId="0" applyFont="1" applyBorder="1" applyAlignment="1" applyProtection="1">
      <alignment horizontal="left" vertical="center" wrapText="1"/>
      <protection locked="0"/>
    </xf>
    <xf numFmtId="0" fontId="69" fillId="32" borderId="1" xfId="0" applyFont="1" applyFill="1" applyBorder="1" applyAlignment="1" applyProtection="1">
      <alignment horizontal="center" vertical="center" wrapText="1"/>
      <protection locked="0"/>
    </xf>
    <xf numFmtId="15" fontId="10" fillId="26" borderId="1" xfId="0" applyNumberFormat="1" applyFont="1" applyFill="1" applyBorder="1" applyAlignment="1" applyProtection="1">
      <alignment horizontal="center" vertical="center" wrapText="1"/>
      <protection hidden="1"/>
    </xf>
    <xf numFmtId="49" fontId="7" fillId="0" borderId="1" xfId="0" applyNumberFormat="1" applyFont="1" applyBorder="1" applyAlignment="1" applyProtection="1">
      <alignment horizontal="center" wrapText="1"/>
      <protection locked="0"/>
    </xf>
    <xf numFmtId="165" fontId="28" fillId="0" borderId="1" xfId="0" applyNumberFormat="1" applyFont="1" applyBorder="1" applyAlignment="1" applyProtection="1">
      <alignment horizontal="center" wrapText="1"/>
      <protection locked="0"/>
    </xf>
    <xf numFmtId="0" fontId="3" fillId="32" borderId="1" xfId="0" applyFont="1" applyFill="1" applyBorder="1" applyAlignment="1" applyProtection="1">
      <alignment horizontal="center" vertical="center" wrapText="1"/>
      <protection locked="0"/>
    </xf>
    <xf numFmtId="15" fontId="10" fillId="0" borderId="1" xfId="0" applyNumberFormat="1" applyFont="1" applyBorder="1" applyAlignment="1" applyProtection="1">
      <alignment horizontal="center" vertical="center" wrapText="1"/>
      <protection hidden="1"/>
    </xf>
    <xf numFmtId="165" fontId="28" fillId="26" borderId="1" xfId="0" applyNumberFormat="1" applyFont="1" applyFill="1" applyBorder="1" applyAlignment="1" applyProtection="1">
      <alignment horizontal="center" wrapText="1"/>
      <protection locked="0"/>
    </xf>
    <xf numFmtId="165" fontId="10" fillId="26" borderId="1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1" xfId="0" applyFont="1" applyBorder="1" applyAlignment="1" applyProtection="1">
      <alignment horizontal="center" wrapText="1"/>
      <protection locked="0"/>
    </xf>
    <xf numFmtId="165" fontId="21" fillId="0" borderId="0" xfId="0" applyNumberFormat="1" applyFont="1" applyAlignment="1">
      <alignment horizontal="center" vertical="center"/>
    </xf>
    <xf numFmtId="49" fontId="54" fillId="30" borderId="0" xfId="0" applyNumberFormat="1" applyFont="1" applyFill="1" applyAlignment="1">
      <alignment horizontal="center" vertical="center"/>
    </xf>
    <xf numFmtId="49" fontId="54" fillId="30" borderId="0" xfId="0" applyNumberFormat="1" applyFont="1" applyFill="1" applyAlignment="1">
      <alignment horizontal="center"/>
    </xf>
    <xf numFmtId="0" fontId="47" fillId="21" borderId="0" xfId="2" applyBorder="1" applyAlignment="1" applyProtection="1">
      <alignment horizontal="center" vertical="center"/>
      <protection locked="0"/>
    </xf>
    <xf numFmtId="9" fontId="47" fillId="21" borderId="0" xfId="2" applyNumberFormat="1" applyBorder="1" applyAlignment="1">
      <alignment horizontal="center" vertical="center"/>
    </xf>
    <xf numFmtId="0" fontId="47" fillId="21" borderId="0" xfId="2" applyBorder="1" applyAlignment="1">
      <alignment horizontal="center" vertical="center"/>
    </xf>
    <xf numFmtId="0" fontId="47" fillId="21" borderId="0" xfId="2" applyBorder="1" applyAlignment="1">
      <alignment vertical="center"/>
    </xf>
    <xf numFmtId="165" fontId="47" fillId="21" borderId="0" xfId="2" applyNumberFormat="1" applyBorder="1" applyAlignment="1">
      <alignment horizontal="center" vertical="center" shrinkToFit="1"/>
    </xf>
    <xf numFmtId="15" fontId="47" fillId="21" borderId="0" xfId="2" applyNumberFormat="1" applyBorder="1" applyAlignment="1">
      <alignment horizontal="center" vertical="center"/>
    </xf>
    <xf numFmtId="15" fontId="47" fillId="21" borderId="0" xfId="2" applyNumberFormat="1" applyBorder="1" applyAlignment="1">
      <alignment horizontal="center" vertical="center" shrinkToFit="1"/>
    </xf>
    <xf numFmtId="49" fontId="47" fillId="21" borderId="1" xfId="2" applyNumberFormat="1" applyBorder="1" applyAlignment="1" applyProtection="1">
      <alignment horizontal="center" vertical="center" wrapText="1"/>
    </xf>
    <xf numFmtId="15" fontId="25" fillId="0" borderId="1" xfId="0" applyNumberFormat="1" applyFont="1" applyBorder="1" applyAlignment="1">
      <alignment horizontal="left" vertical="center"/>
    </xf>
    <xf numFmtId="0" fontId="10" fillId="46" borderId="1" xfId="0" applyFont="1" applyFill="1" applyBorder="1" applyAlignment="1">
      <alignment horizontal="left"/>
    </xf>
    <xf numFmtId="0" fontId="25" fillId="31" borderId="16" xfId="0" applyFont="1" applyFill="1" applyBorder="1" applyAlignment="1">
      <alignment horizontal="center"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57" fillId="31" borderId="33" xfId="0" applyFont="1" applyFill="1" applyBorder="1" applyAlignment="1" applyProtection="1">
      <alignment horizontal="center" vertical="center"/>
      <protection locked="0"/>
    </xf>
    <xf numFmtId="165" fontId="70" fillId="26" borderId="9" xfId="5" applyNumberFormat="1" applyFont="1" applyFill="1" applyBorder="1" applyAlignment="1" applyProtection="1">
      <alignment horizontal="center" vertical="center"/>
    </xf>
    <xf numFmtId="9" fontId="26" fillId="0" borderId="9" xfId="0" applyNumberFormat="1" applyFont="1" applyBorder="1" applyAlignment="1">
      <alignment horizontal="center" vertical="center" wrapText="1"/>
    </xf>
    <xf numFmtId="0" fontId="25" fillId="0" borderId="9" xfId="0" applyFont="1" applyBorder="1" applyAlignment="1" applyProtection="1">
      <alignment vertical="center"/>
      <protection locked="0"/>
    </xf>
    <xf numFmtId="15" fontId="25" fillId="0" borderId="9" xfId="0" applyNumberFormat="1" applyFont="1" applyBorder="1" applyAlignment="1">
      <alignment horizontal="center" vertical="center"/>
    </xf>
    <xf numFmtId="0" fontId="52" fillId="35" borderId="1" xfId="0" applyFont="1" applyFill="1" applyBorder="1"/>
    <xf numFmtId="1" fontId="0" fillId="35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0" fontId="10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2" fontId="0" fillId="35" borderId="1" xfId="0" applyNumberFormat="1" applyFill="1" applyBorder="1" applyAlignment="1">
      <alignment horizontal="left"/>
    </xf>
    <xf numFmtId="0" fontId="0" fillId="35" borderId="1" xfId="0" applyFill="1" applyBorder="1"/>
    <xf numFmtId="1" fontId="0" fillId="35" borderId="9" xfId="0" applyNumberFormat="1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67" fillId="34" borderId="54" xfId="0" applyFont="1" applyFill="1" applyBorder="1" applyAlignment="1">
      <alignment horizontal="center" vertical="center"/>
    </xf>
    <xf numFmtId="0" fontId="10" fillId="40" borderId="1" xfId="0" applyFont="1" applyFill="1" applyBorder="1" applyAlignment="1">
      <alignment wrapText="1"/>
    </xf>
    <xf numFmtId="49" fontId="7" fillId="0" borderId="1" xfId="0" applyNumberFormat="1" applyFont="1" applyBorder="1" applyAlignment="1">
      <alignment horizontal="left" vertical="center"/>
    </xf>
    <xf numFmtId="0" fontId="69" fillId="33" borderId="1" xfId="0" applyFont="1" applyFill="1" applyBorder="1" applyAlignment="1" applyProtection="1">
      <alignment horizontal="center" vertical="center"/>
      <protection locked="0"/>
    </xf>
    <xf numFmtId="0" fontId="21" fillId="0" borderId="26" xfId="0" applyFont="1" applyBorder="1"/>
    <xf numFmtId="0" fontId="25" fillId="0" borderId="1" xfId="0" applyFont="1" applyBorder="1" applyAlignment="1" applyProtection="1">
      <alignment horizontal="center" vertical="center"/>
      <protection locked="0"/>
    </xf>
    <xf numFmtId="9" fontId="25" fillId="5" borderId="1" xfId="0" applyNumberFormat="1" applyFont="1" applyFill="1" applyBorder="1" applyAlignment="1">
      <alignment horizontal="center" vertical="center" wrapText="1"/>
    </xf>
    <xf numFmtId="0" fontId="3" fillId="33" borderId="1" xfId="0" applyFont="1" applyFill="1" applyBorder="1" applyAlignment="1" applyProtection="1">
      <alignment horizontal="center" vertical="center" wrapText="1"/>
      <protection locked="0"/>
    </xf>
    <xf numFmtId="0" fontId="4" fillId="0" borderId="0" xfId="6" applyAlignment="1" applyProtection="1">
      <alignment vertical="center"/>
    </xf>
    <xf numFmtId="0" fontId="38" fillId="0" borderId="1" xfId="0" applyFont="1" applyBorder="1" applyAlignment="1">
      <alignment horizontal="center" vertical="center"/>
    </xf>
    <xf numFmtId="15" fontId="38" fillId="0" borderId="1" xfId="0" applyNumberFormat="1" applyFont="1" applyBorder="1" applyAlignment="1">
      <alignment horizontal="center" vertical="center"/>
    </xf>
    <xf numFmtId="17" fontId="38" fillId="0" borderId="1" xfId="0" applyNumberFormat="1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16" fontId="38" fillId="0" borderId="1" xfId="0" applyNumberFormat="1" applyFont="1" applyBorder="1" applyAlignment="1">
      <alignment horizontal="center" vertical="center"/>
    </xf>
    <xf numFmtId="0" fontId="48" fillId="22" borderId="70" xfId="3" applyBorder="1" applyAlignment="1">
      <alignment horizontal="center" vertical="center"/>
    </xf>
    <xf numFmtId="0" fontId="48" fillId="22" borderId="69" xfId="3" applyAlignment="1">
      <alignment horizontal="center" vertical="center"/>
    </xf>
    <xf numFmtId="0" fontId="48" fillId="22" borderId="69" xfId="3"/>
    <xf numFmtId="0" fontId="48" fillId="22" borderId="71" xfId="3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 wrapText="1"/>
    </xf>
    <xf numFmtId="169" fontId="48" fillId="22" borderId="70" xfId="3" applyNumberFormat="1" applyBorder="1" applyAlignment="1">
      <alignment horizontal="center" vertical="center"/>
    </xf>
    <xf numFmtId="169" fontId="48" fillId="22" borderId="69" xfId="3" applyNumberFormat="1" applyAlignment="1">
      <alignment horizontal="center" vertical="center"/>
    </xf>
    <xf numFmtId="0" fontId="38" fillId="0" borderId="38" xfId="0" applyFont="1" applyBorder="1" applyAlignment="1">
      <alignment horizontal="center" vertical="center"/>
    </xf>
    <xf numFmtId="15" fontId="38" fillId="0" borderId="18" xfId="0" applyNumberFormat="1" applyFont="1" applyBorder="1" applyAlignment="1">
      <alignment horizontal="center" vertical="center"/>
    </xf>
    <xf numFmtId="17" fontId="38" fillId="0" borderId="18" xfId="0" applyNumberFormat="1" applyFont="1" applyBorder="1" applyAlignment="1">
      <alignment horizontal="center" vertical="center"/>
    </xf>
    <xf numFmtId="0" fontId="0" fillId="0" borderId="18" xfId="0" applyBorder="1"/>
    <xf numFmtId="0" fontId="38" fillId="0" borderId="25" xfId="0" applyFont="1" applyBorder="1" applyAlignment="1">
      <alignment horizontal="center" vertical="center" wrapText="1"/>
    </xf>
    <xf numFmtId="0" fontId="19" fillId="56" borderId="59" xfId="0" applyFont="1" applyFill="1" applyBorder="1" applyAlignment="1">
      <alignment horizontal="center" vertical="center"/>
    </xf>
    <xf numFmtId="0" fontId="19" fillId="56" borderId="39" xfId="0" applyFont="1" applyFill="1" applyBorder="1" applyAlignment="1">
      <alignment horizontal="center" vertical="center"/>
    </xf>
    <xf numFmtId="0" fontId="19" fillId="56" borderId="60" xfId="0" applyFont="1" applyFill="1" applyBorder="1" applyAlignment="1">
      <alignment horizontal="center" vertical="center"/>
    </xf>
    <xf numFmtId="0" fontId="0" fillId="56" borderId="14" xfId="0" applyFill="1" applyBorder="1"/>
    <xf numFmtId="0" fontId="19" fillId="56" borderId="61" xfId="0" applyFont="1" applyFill="1" applyBorder="1" applyAlignment="1">
      <alignment horizontal="center" vertical="center" wrapText="1"/>
    </xf>
    <xf numFmtId="0" fontId="71" fillId="22" borderId="13" xfId="3" applyFont="1" applyBorder="1" applyAlignment="1">
      <alignment horizontal="center" vertical="center"/>
    </xf>
    <xf numFmtId="0" fontId="71" fillId="22" borderId="13" xfId="3" applyFont="1" applyBorder="1" applyAlignment="1">
      <alignment horizontal="center" vertical="center" wrapText="1"/>
    </xf>
    <xf numFmtId="0" fontId="72" fillId="22" borderId="13" xfId="3" applyFont="1" applyBorder="1" applyAlignment="1">
      <alignment horizontal="center" vertical="center" wrapText="1"/>
    </xf>
    <xf numFmtId="0" fontId="73" fillId="22" borderId="13" xfId="3" applyFont="1" applyBorder="1" applyAlignment="1">
      <alignment horizontal="center" vertical="center" wrapText="1"/>
    </xf>
    <xf numFmtId="0" fontId="0" fillId="0" borderId="13" xfId="0" applyBorder="1"/>
    <xf numFmtId="0" fontId="71" fillId="22" borderId="2" xfId="3" applyFont="1" applyBorder="1" applyAlignment="1">
      <alignment horizontal="center" vertical="center"/>
    </xf>
    <xf numFmtId="0" fontId="74" fillId="0" borderId="15" xfId="0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/>
    </xf>
    <xf numFmtId="0" fontId="38" fillId="0" borderId="1" xfId="0" applyFont="1" applyBorder="1"/>
    <xf numFmtId="0" fontId="39" fillId="26" borderId="1" xfId="0" applyFont="1" applyFill="1" applyBorder="1" applyAlignment="1">
      <alignment horizontal="center" vertical="center"/>
    </xf>
    <xf numFmtId="0" fontId="75" fillId="21" borderId="1" xfId="2" applyFont="1" applyBorder="1"/>
    <xf numFmtId="0" fontId="39" fillId="26" borderId="18" xfId="0" applyFont="1" applyFill="1" applyBorder="1" applyAlignment="1">
      <alignment horizontal="center" vertical="center"/>
    </xf>
    <xf numFmtId="15" fontId="38" fillId="26" borderId="18" xfId="0" applyNumberFormat="1" applyFont="1" applyFill="1" applyBorder="1" applyAlignment="1">
      <alignment horizontal="center" vertical="center"/>
    </xf>
    <xf numFmtId="0" fontId="38" fillId="0" borderId="18" xfId="0" applyFont="1" applyBorder="1"/>
    <xf numFmtId="0" fontId="76" fillId="22" borderId="71" xfId="3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26" borderId="1" xfId="0" applyFont="1" applyFill="1" applyBorder="1" applyAlignment="1">
      <alignment horizontal="center" vertical="center"/>
    </xf>
    <xf numFmtId="0" fontId="77" fillId="22" borderId="1" xfId="3" applyFont="1" applyBorder="1"/>
    <xf numFmtId="0" fontId="77" fillId="22" borderId="4" xfId="3" applyFont="1" applyBorder="1"/>
    <xf numFmtId="0" fontId="75" fillId="21" borderId="1" xfId="2" applyFont="1" applyBorder="1" applyAlignment="1">
      <alignment horizontal="center" vertical="center"/>
    </xf>
    <xf numFmtId="0" fontId="38" fillId="26" borderId="18" xfId="0" applyFont="1" applyFill="1" applyBorder="1" applyAlignment="1">
      <alignment horizontal="center" vertical="center"/>
    </xf>
    <xf numFmtId="15" fontId="38" fillId="26" borderId="1" xfId="0" applyNumberFormat="1" applyFont="1" applyFill="1" applyBorder="1" applyAlignment="1">
      <alignment horizontal="center" vertical="center"/>
    </xf>
    <xf numFmtId="0" fontId="77" fillId="22" borderId="1" xfId="3" applyFont="1" applyBorder="1" applyAlignment="1"/>
    <xf numFmtId="0" fontId="77" fillId="22" borderId="4" xfId="3" applyFont="1" applyBorder="1" applyAlignment="1"/>
    <xf numFmtId="0" fontId="77" fillId="22" borderId="1" xfId="3" applyFont="1" applyBorder="1" applyAlignment="1">
      <alignment horizontal="center"/>
    </xf>
    <xf numFmtId="0" fontId="38" fillId="26" borderId="16" xfId="0" applyFont="1" applyFill="1" applyBorder="1" applyAlignment="1">
      <alignment horizontal="center" vertical="center"/>
    </xf>
    <xf numFmtId="0" fontId="38" fillId="26" borderId="41" xfId="0" applyFont="1" applyFill="1" applyBorder="1" applyAlignment="1">
      <alignment horizontal="center" vertical="center"/>
    </xf>
    <xf numFmtId="0" fontId="78" fillId="21" borderId="6" xfId="2" applyFont="1" applyBorder="1" applyAlignment="1">
      <alignment horizontal="center" vertical="center" wrapText="1"/>
    </xf>
    <xf numFmtId="0" fontId="38" fillId="26" borderId="9" xfId="0" applyFont="1" applyFill="1" applyBorder="1" applyAlignment="1">
      <alignment horizontal="center" vertical="center"/>
    </xf>
    <xf numFmtId="0" fontId="8" fillId="0" borderId="0" xfId="10"/>
    <xf numFmtId="0" fontId="32" fillId="0" borderId="1" xfId="10" applyFont="1" applyBorder="1"/>
    <xf numFmtId="0" fontId="32" fillId="0" borderId="1" xfId="10" applyFont="1" applyBorder="1" applyAlignment="1">
      <alignment horizontal="left" wrapText="1"/>
    </xf>
    <xf numFmtId="0" fontId="32" fillId="0" borderId="1" xfId="10" applyFont="1" applyBorder="1" applyAlignment="1">
      <alignment horizontal="center" vertical="center"/>
    </xf>
    <xf numFmtId="49" fontId="54" fillId="30" borderId="33" xfId="0" applyNumberFormat="1" applyFont="1" applyFill="1" applyBorder="1" applyAlignment="1">
      <alignment horizontal="center"/>
    </xf>
    <xf numFmtId="165" fontId="25" fillId="57" borderId="1" xfId="0" applyNumberFormat="1" applyFont="1" applyFill="1" applyBorder="1" applyAlignment="1">
      <alignment horizontal="center" vertical="center"/>
    </xf>
    <xf numFmtId="9" fontId="25" fillId="0" borderId="11" xfId="0" applyNumberFormat="1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0" fontId="69" fillId="26" borderId="1" xfId="0" applyFont="1" applyFill="1" applyBorder="1" applyAlignment="1" applyProtection="1">
      <alignment horizontal="center" vertical="center"/>
      <protection locked="0"/>
    </xf>
    <xf numFmtId="0" fontId="3" fillId="26" borderId="20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vertical="center" wrapText="1"/>
    </xf>
    <xf numFmtId="49" fontId="3" fillId="58" borderId="1" xfId="0" applyNumberFormat="1" applyFont="1" applyFill="1" applyBorder="1" applyAlignment="1" applyProtection="1">
      <alignment horizontal="center" vertical="center"/>
      <protection locked="0"/>
    </xf>
    <xf numFmtId="165" fontId="3" fillId="58" borderId="1" xfId="0" applyNumberFormat="1" applyFont="1" applyFill="1" applyBorder="1" applyAlignment="1" applyProtection="1">
      <alignment horizontal="center" vertical="center"/>
      <protection locked="0"/>
    </xf>
    <xf numFmtId="49" fontId="3" fillId="58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58" borderId="1" xfId="0" applyFont="1" applyFill="1" applyBorder="1" applyAlignment="1" applyProtection="1">
      <alignment horizontal="center" vertical="center"/>
      <protection locked="0"/>
    </xf>
    <xf numFmtId="0" fontId="3" fillId="58" borderId="1" xfId="0" applyFont="1" applyFill="1" applyBorder="1" applyAlignment="1">
      <alignment horizontal="center" vertical="center"/>
    </xf>
    <xf numFmtId="165" fontId="3" fillId="58" borderId="1" xfId="0" applyNumberFormat="1" applyFont="1" applyFill="1" applyBorder="1" applyAlignment="1">
      <alignment horizontal="center" vertical="center"/>
    </xf>
    <xf numFmtId="49" fontId="3" fillId="0" borderId="52" xfId="0" applyNumberFormat="1" applyFont="1" applyBorder="1" applyAlignment="1">
      <alignment horizontal="center" vertical="center"/>
    </xf>
    <xf numFmtId="165" fontId="3" fillId="0" borderId="20" xfId="0" applyNumberFormat="1" applyFont="1" applyBorder="1" applyAlignment="1">
      <alignment horizontal="center" vertical="center"/>
    </xf>
    <xf numFmtId="49" fontId="3" fillId="0" borderId="20" xfId="0" applyNumberFormat="1" applyFont="1" applyBorder="1" applyAlignment="1">
      <alignment horizontal="center" vertical="center"/>
    </xf>
    <xf numFmtId="0" fontId="3" fillId="0" borderId="20" xfId="0" applyFont="1" applyBorder="1" applyAlignment="1" applyProtection="1">
      <alignment horizontal="center" vertical="center"/>
      <protection locked="0"/>
    </xf>
    <xf numFmtId="0" fontId="3" fillId="0" borderId="37" xfId="0" applyFont="1" applyBorder="1" applyAlignment="1" applyProtection="1">
      <alignment horizontal="left" vertical="center" wrapText="1"/>
      <protection locked="0"/>
    </xf>
    <xf numFmtId="165" fontId="3" fillId="0" borderId="37" xfId="0" applyNumberFormat="1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165" fontId="3" fillId="0" borderId="33" xfId="0" applyNumberFormat="1" applyFont="1" applyBorder="1" applyAlignment="1">
      <alignment horizontal="center" vertical="center"/>
    </xf>
    <xf numFmtId="165" fontId="3" fillId="26" borderId="1" xfId="0" applyNumberFormat="1" applyFont="1" applyFill="1" applyBorder="1" applyAlignment="1">
      <alignment horizontal="center" vertical="center"/>
    </xf>
    <xf numFmtId="15" fontId="3" fillId="0" borderId="1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9" fontId="3" fillId="5" borderId="11" xfId="0" applyNumberFormat="1" applyFont="1" applyFill="1" applyBorder="1" applyAlignment="1">
      <alignment horizontal="center" vertical="center" wrapText="1"/>
    </xf>
    <xf numFmtId="9" fontId="3" fillId="0" borderId="11" xfId="0" applyNumberFormat="1" applyFont="1" applyBorder="1" applyAlignment="1">
      <alignment horizontal="center" vertical="center" wrapText="1"/>
    </xf>
    <xf numFmtId="165" fontId="3" fillId="0" borderId="9" xfId="0" applyNumberFormat="1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165" fontId="3" fillId="0" borderId="18" xfId="0" applyNumberFormat="1" applyFont="1" applyBorder="1" applyAlignment="1">
      <alignment horizontal="center" vertical="center"/>
    </xf>
    <xf numFmtId="49" fontId="3" fillId="0" borderId="18" xfId="0" applyNumberFormat="1" applyFont="1" applyBorder="1" applyAlignment="1">
      <alignment horizontal="center" vertical="center"/>
    </xf>
    <xf numFmtId="0" fontId="3" fillId="26" borderId="18" xfId="0" applyFont="1" applyFill="1" applyBorder="1" applyAlignment="1" applyProtection="1">
      <alignment horizontal="center" vertical="center"/>
      <protection locked="0"/>
    </xf>
    <xf numFmtId="0" fontId="3" fillId="0" borderId="18" xfId="0" applyFont="1" applyBorder="1" applyAlignment="1">
      <alignment horizontal="center" vertical="center"/>
    </xf>
    <xf numFmtId="0" fontId="3" fillId="0" borderId="18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center" vertical="center"/>
    </xf>
    <xf numFmtId="15" fontId="0" fillId="37" borderId="1" xfId="0" applyNumberFormat="1" applyFill="1" applyBorder="1" applyAlignment="1">
      <alignment horizontal="center" vertical="center"/>
    </xf>
    <xf numFmtId="0" fontId="10" fillId="0" borderId="0" xfId="9"/>
    <xf numFmtId="0" fontId="79" fillId="0" borderId="0" xfId="9" applyFont="1" applyAlignment="1">
      <alignment vertical="center"/>
    </xf>
    <xf numFmtId="0" fontId="80" fillId="0" borderId="0" xfId="9" applyFont="1" applyAlignment="1">
      <alignment vertical="center"/>
    </xf>
    <xf numFmtId="0" fontId="80" fillId="37" borderId="58" xfId="9" applyFont="1" applyFill="1" applyBorder="1" applyAlignment="1">
      <alignment vertical="center"/>
    </xf>
    <xf numFmtId="0" fontId="10" fillId="37" borderId="44" xfId="9" applyFill="1" applyBorder="1"/>
    <xf numFmtId="16" fontId="25" fillId="0" borderId="1" xfId="0" applyNumberFormat="1" applyFont="1" applyBorder="1"/>
    <xf numFmtId="14" fontId="3" fillId="0" borderId="1" xfId="0" applyNumberFormat="1" applyFont="1" applyBorder="1" applyAlignment="1">
      <alignment horizontal="center" vertical="center"/>
    </xf>
    <xf numFmtId="49" fontId="81" fillId="0" borderId="1" xfId="0" applyNumberFormat="1" applyFont="1" applyBorder="1" applyAlignment="1" applyProtection="1">
      <alignment horizontal="center"/>
      <protection locked="0"/>
    </xf>
    <xf numFmtId="0" fontId="56" fillId="28" borderId="54" xfId="0" applyFont="1" applyFill="1" applyBorder="1" applyAlignment="1" applyProtection="1">
      <alignment horizontal="center" vertical="center"/>
      <protection locked="0"/>
    </xf>
    <xf numFmtId="9" fontId="56" fillId="5" borderId="54" xfId="0" applyNumberFormat="1" applyFont="1" applyFill="1" applyBorder="1" applyAlignment="1">
      <alignment horizontal="center" vertical="center" wrapText="1"/>
    </xf>
    <xf numFmtId="0" fontId="83" fillId="0" borderId="54" xfId="0" applyFont="1" applyBorder="1"/>
    <xf numFmtId="49" fontId="7" fillId="41" borderId="1" xfId="0" applyNumberFormat="1" applyFont="1" applyFill="1" applyBorder="1" applyAlignment="1" applyProtection="1">
      <alignment horizontal="center" vertical="center" wrapText="1"/>
      <protection locked="0"/>
    </xf>
    <xf numFmtId="15" fontId="10" fillId="41" borderId="1" xfId="0" applyNumberFormat="1" applyFont="1" applyFill="1" applyBorder="1" applyAlignment="1" applyProtection="1">
      <alignment horizontal="center" vertical="center" wrapText="1"/>
      <protection hidden="1"/>
    </xf>
    <xf numFmtId="0" fontId="10" fillId="41" borderId="1" xfId="0" applyFont="1" applyFill="1" applyBorder="1" applyAlignment="1" applyProtection="1">
      <alignment horizontal="center" vertical="center" wrapText="1"/>
      <protection hidden="1"/>
    </xf>
    <xf numFmtId="0" fontId="10" fillId="41" borderId="1" xfId="0" applyFont="1" applyFill="1" applyBorder="1" applyAlignment="1" applyProtection="1">
      <alignment horizontal="left" vertical="center" wrapText="1"/>
      <protection locked="0"/>
    </xf>
    <xf numFmtId="0" fontId="0" fillId="41" borderId="0" xfId="0" applyFill="1"/>
    <xf numFmtId="165" fontId="10" fillId="41" borderId="1" xfId="0" applyNumberFormat="1" applyFont="1" applyFill="1" applyBorder="1" applyAlignment="1">
      <alignment horizontal="center" vertical="center"/>
    </xf>
    <xf numFmtId="49" fontId="81" fillId="41" borderId="1" xfId="0" applyNumberFormat="1" applyFont="1" applyFill="1" applyBorder="1" applyAlignment="1" applyProtection="1">
      <alignment horizontal="center"/>
      <protection locked="0"/>
    </xf>
    <xf numFmtId="49" fontId="7" fillId="41" borderId="1" xfId="0" applyNumberFormat="1" applyFont="1" applyFill="1" applyBorder="1" applyAlignment="1" applyProtection="1">
      <alignment horizontal="center"/>
      <protection locked="0"/>
    </xf>
    <xf numFmtId="0" fontId="3" fillId="41" borderId="1" xfId="0" applyFont="1" applyFill="1" applyBorder="1" applyAlignment="1" applyProtection="1">
      <alignment horizontal="center" vertical="center"/>
      <protection locked="0"/>
    </xf>
    <xf numFmtId="15" fontId="10" fillId="41" borderId="1" xfId="0" applyNumberFormat="1" applyFont="1" applyFill="1" applyBorder="1" applyAlignment="1" applyProtection="1">
      <alignment horizontal="center" vertical="center"/>
      <protection hidden="1"/>
    </xf>
    <xf numFmtId="0" fontId="59" fillId="41" borderId="1" xfId="2" applyFont="1" applyFill="1" applyBorder="1" applyAlignment="1" applyProtection="1">
      <alignment horizontal="center" vertical="center"/>
      <protection hidden="1"/>
    </xf>
    <xf numFmtId="0" fontId="10" fillId="41" borderId="1" xfId="0" applyFont="1" applyFill="1" applyBorder="1" applyAlignment="1" applyProtection="1">
      <alignment horizontal="center" vertical="center"/>
      <protection hidden="1"/>
    </xf>
    <xf numFmtId="0" fontId="7" fillId="41" borderId="1" xfId="0" applyFont="1" applyFill="1" applyBorder="1" applyAlignment="1" applyProtection="1">
      <alignment horizontal="center" vertical="center" wrapText="1"/>
      <protection locked="0"/>
    </xf>
    <xf numFmtId="15" fontId="7" fillId="41" borderId="1" xfId="0" applyNumberFormat="1" applyFont="1" applyFill="1" applyBorder="1" applyAlignment="1" applyProtection="1">
      <alignment horizontal="center" vertical="center" wrapText="1"/>
      <protection hidden="1"/>
    </xf>
    <xf numFmtId="165" fontId="7" fillId="41" borderId="0" xfId="0" applyNumberFormat="1" applyFont="1" applyFill="1" applyAlignment="1" applyProtection="1">
      <alignment horizontal="center" vertical="center" wrapText="1"/>
      <protection hidden="1"/>
    </xf>
    <xf numFmtId="0" fontId="7" fillId="41" borderId="0" xfId="0" applyFont="1" applyFill="1" applyAlignment="1" applyProtection="1">
      <alignment horizontal="center" vertical="center" wrapText="1"/>
      <protection hidden="1"/>
    </xf>
    <xf numFmtId="165" fontId="7" fillId="41" borderId="1" xfId="0" applyNumberFormat="1" applyFont="1" applyFill="1" applyBorder="1" applyAlignment="1" applyProtection="1">
      <alignment horizontal="center" vertical="center" wrapText="1"/>
      <protection hidden="1"/>
    </xf>
    <xf numFmtId="49" fontId="0" fillId="41" borderId="0" xfId="0" applyNumberFormat="1" applyFill="1"/>
    <xf numFmtId="49" fontId="7" fillId="41" borderId="0" xfId="0" applyNumberFormat="1" applyFont="1" applyFill="1" applyAlignment="1">
      <alignment horizontal="center"/>
    </xf>
    <xf numFmtId="0" fontId="0" fillId="41" borderId="0" xfId="0" applyFill="1" applyAlignment="1">
      <alignment horizontal="center"/>
    </xf>
    <xf numFmtId="0" fontId="0" fillId="41" borderId="0" xfId="0" applyFill="1" applyAlignment="1">
      <alignment horizontal="center" vertical="center"/>
    </xf>
    <xf numFmtId="15" fontId="7" fillId="41" borderId="0" xfId="0" applyNumberFormat="1" applyFont="1" applyFill="1" applyAlignment="1" applyProtection="1">
      <alignment horizontal="center" vertical="center" wrapText="1"/>
      <protection hidden="1"/>
    </xf>
    <xf numFmtId="0" fontId="52" fillId="0" borderId="69" xfId="3" applyFont="1" applyFill="1" applyAlignment="1" applyProtection="1">
      <alignment horizontal="left" vertical="center" wrapText="1"/>
      <protection locked="0"/>
    </xf>
    <xf numFmtId="0" fontId="0" fillId="0" borderId="0" xfId="0" applyAlignment="1">
      <alignment vertical="center"/>
    </xf>
    <xf numFmtId="0" fontId="7" fillId="0" borderId="0" xfId="0" applyFont="1" applyAlignment="1">
      <alignment horizontal="center" vertical="center"/>
    </xf>
    <xf numFmtId="49" fontId="7" fillId="0" borderId="52" xfId="0" applyNumberFormat="1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 wrapText="1"/>
    </xf>
    <xf numFmtId="49" fontId="10" fillId="0" borderId="3" xfId="0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26" borderId="3" xfId="0" applyNumberFormat="1" applyFill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49" fontId="0" fillId="0" borderId="62" xfId="0" applyNumberFormat="1" applyBorder="1" applyAlignment="1">
      <alignment horizontal="center" vertical="center"/>
    </xf>
    <xf numFmtId="49" fontId="10" fillId="0" borderId="53" xfId="0" applyNumberFormat="1" applyFont="1" applyBorder="1" applyAlignment="1">
      <alignment vertical="center"/>
    </xf>
    <xf numFmtId="0" fontId="0" fillId="32" borderId="58" xfId="0" applyFill="1" applyBorder="1" applyAlignment="1">
      <alignment vertical="center"/>
    </xf>
    <xf numFmtId="0" fontId="0" fillId="30" borderId="58" xfId="0" applyFill="1" applyBorder="1" applyAlignment="1">
      <alignment horizontal="center" vertical="center"/>
    </xf>
    <xf numFmtId="0" fontId="0" fillId="33" borderId="58" xfId="0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41" borderId="0" xfId="0" applyFill="1" applyAlignment="1">
      <alignment horizontal="left"/>
    </xf>
    <xf numFmtId="0" fontId="0" fillId="0" borderId="0" xfId="0" applyAlignment="1">
      <alignment horizontal="left" vertical="top"/>
    </xf>
    <xf numFmtId="0" fontId="7" fillId="41" borderId="0" xfId="0" applyFont="1" applyFill="1" applyAlignment="1" applyProtection="1">
      <alignment horizontal="left" vertical="top" wrapText="1"/>
      <protection hidden="1"/>
    </xf>
    <xf numFmtId="0" fontId="0" fillId="41" borderId="0" xfId="0" applyFill="1" applyAlignment="1">
      <alignment horizontal="left" vertical="top"/>
    </xf>
    <xf numFmtId="0" fontId="10" fillId="41" borderId="1" xfId="0" applyFont="1" applyFill="1" applyBorder="1" applyAlignment="1" applyProtection="1">
      <alignment horizontal="left" vertical="top"/>
      <protection hidden="1"/>
    </xf>
    <xf numFmtId="0" fontId="59" fillId="41" borderId="1" xfId="2" applyFont="1" applyFill="1" applyBorder="1" applyAlignment="1" applyProtection="1">
      <alignment horizontal="left" vertical="top"/>
      <protection hidden="1"/>
    </xf>
    <xf numFmtId="0" fontId="0" fillId="44" borderId="54" xfId="0" applyFill="1" applyBorder="1" applyAlignment="1">
      <alignment horizontal="center" vertical="center"/>
    </xf>
    <xf numFmtId="49" fontId="7" fillId="57" borderId="20" xfId="0" applyNumberFormat="1" applyFont="1" applyFill="1" applyBorder="1" applyAlignment="1" applyProtection="1">
      <alignment horizontal="center" vertical="center" wrapText="1"/>
      <protection locked="0"/>
    </xf>
    <xf numFmtId="0" fontId="7" fillId="57" borderId="20" xfId="0" applyFont="1" applyFill="1" applyBorder="1" applyAlignment="1" applyProtection="1">
      <alignment horizontal="center" vertical="center" wrapText="1"/>
      <protection locked="0"/>
    </xf>
    <xf numFmtId="15" fontId="7" fillId="57" borderId="20" xfId="0" applyNumberFormat="1" applyFont="1" applyFill="1" applyBorder="1" applyAlignment="1" applyProtection="1">
      <alignment horizontal="center" vertical="center" wrapText="1"/>
      <protection hidden="1"/>
    </xf>
    <xf numFmtId="165" fontId="7" fillId="57" borderId="20" xfId="0" applyNumberFormat="1" applyFont="1" applyFill="1" applyBorder="1" applyAlignment="1" applyProtection="1">
      <alignment horizontal="center" vertical="center" wrapText="1"/>
      <protection hidden="1"/>
    </xf>
    <xf numFmtId="10" fontId="7" fillId="57" borderId="20" xfId="0" applyNumberFormat="1" applyFont="1" applyFill="1" applyBorder="1" applyAlignment="1" applyProtection="1">
      <alignment horizontal="center" vertical="center" wrapText="1"/>
      <protection locked="0"/>
    </xf>
    <xf numFmtId="0" fontId="52" fillId="26" borderId="16" xfId="0" applyFont="1" applyFill="1" applyBorder="1"/>
    <xf numFmtId="1" fontId="0" fillId="26" borderId="16" xfId="0" applyNumberFormat="1" applyFill="1" applyBorder="1" applyAlignment="1">
      <alignment horizontal="center" vertical="center"/>
    </xf>
    <xf numFmtId="0" fontId="49" fillId="48" borderId="16" xfId="5" applyFill="1" applyBorder="1"/>
    <xf numFmtId="0" fontId="0" fillId="26" borderId="16" xfId="0" applyFill="1" applyBorder="1" applyAlignment="1">
      <alignment horizontal="center" vertical="center"/>
    </xf>
    <xf numFmtId="0" fontId="0" fillId="49" borderId="16" xfId="0" applyFill="1" applyBorder="1" applyAlignment="1">
      <alignment horizontal="center" vertical="center"/>
    </xf>
    <xf numFmtId="49" fontId="54" fillId="26" borderId="16" xfId="0" applyNumberFormat="1" applyFont="1" applyFill="1" applyBorder="1" applyAlignment="1">
      <alignment horizontal="center" vertical="center"/>
    </xf>
    <xf numFmtId="0" fontId="0" fillId="49" borderId="16" xfId="0" applyFill="1" applyBorder="1" applyAlignment="1">
      <alignment horizontal="left"/>
    </xf>
    <xf numFmtId="0" fontId="0" fillId="46" borderId="16" xfId="0" applyFill="1" applyBorder="1" applyAlignment="1">
      <alignment horizontal="left"/>
    </xf>
    <xf numFmtId="1" fontId="0" fillId="26" borderId="16" xfId="0" applyNumberFormat="1" applyFill="1" applyBorder="1" applyAlignment="1">
      <alignment horizontal="center"/>
    </xf>
    <xf numFmtId="1" fontId="0" fillId="46" borderId="16" xfId="0" applyNumberFormat="1" applyFill="1" applyBorder="1" applyAlignment="1">
      <alignment horizontal="left"/>
    </xf>
    <xf numFmtId="0" fontId="0" fillId="26" borderId="16" xfId="0" applyFill="1" applyBorder="1"/>
    <xf numFmtId="14" fontId="0" fillId="26" borderId="16" xfId="0" applyNumberFormat="1" applyFill="1" applyBorder="1" applyAlignment="1">
      <alignment horizontal="left"/>
    </xf>
    <xf numFmtId="15" fontId="0" fillId="26" borderId="16" xfId="0" applyNumberFormat="1" applyFill="1" applyBorder="1"/>
    <xf numFmtId="0" fontId="0" fillId="26" borderId="28" xfId="0" applyFill="1" applyBorder="1"/>
    <xf numFmtId="15" fontId="0" fillId="26" borderId="9" xfId="0" applyNumberFormat="1" applyFill="1" applyBorder="1"/>
    <xf numFmtId="0" fontId="0" fillId="49" borderId="1" xfId="0" applyFill="1" applyBorder="1" applyAlignment="1">
      <alignment horizontal="center" vertical="center"/>
    </xf>
    <xf numFmtId="49" fontId="54" fillId="26" borderId="1" xfId="0" applyNumberFormat="1" applyFont="1" applyFill="1" applyBorder="1" applyAlignment="1">
      <alignment horizontal="center" vertical="center"/>
    </xf>
    <xf numFmtId="0" fontId="33" fillId="0" borderId="1" xfId="0" applyFont="1" applyBorder="1"/>
    <xf numFmtId="0" fontId="10" fillId="32" borderId="1" xfId="0" applyFont="1" applyFill="1" applyBorder="1" applyAlignment="1">
      <alignment horizontal="center" vertical="center"/>
    </xf>
    <xf numFmtId="0" fontId="10" fillId="33" borderId="1" xfId="0" applyFont="1" applyFill="1" applyBorder="1" applyAlignment="1">
      <alignment horizontal="center" vertical="center"/>
    </xf>
    <xf numFmtId="165" fontId="10" fillId="5" borderId="1" xfId="0" applyNumberFormat="1" applyFont="1" applyFill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15" fontId="0" fillId="55" borderId="1" xfId="0" applyNumberFormat="1" applyFill="1" applyBorder="1" applyAlignment="1">
      <alignment horizontal="center" vertical="center"/>
    </xf>
    <xf numFmtId="0" fontId="47" fillId="21" borderId="1" xfId="2" applyBorder="1" applyAlignment="1" applyProtection="1">
      <alignment horizontal="left" vertical="center"/>
      <protection locked="0"/>
    </xf>
    <xf numFmtId="15" fontId="0" fillId="32" borderId="1" xfId="0" applyNumberFormat="1" applyFill="1" applyBorder="1" applyAlignment="1">
      <alignment horizontal="center" vertical="center"/>
    </xf>
    <xf numFmtId="49" fontId="6" fillId="9" borderId="7" xfId="0" applyNumberFormat="1" applyFont="1" applyFill="1" applyBorder="1" applyAlignment="1">
      <alignment vertical="center"/>
    </xf>
    <xf numFmtId="49" fontId="6" fillId="9" borderId="65" xfId="0" applyNumberFormat="1" applyFont="1" applyFill="1" applyBorder="1" applyAlignment="1">
      <alignment vertical="center"/>
    </xf>
    <xf numFmtId="49" fontId="6" fillId="9" borderId="66" xfId="0" applyNumberFormat="1" applyFont="1" applyFill="1" applyBorder="1" applyAlignment="1">
      <alignment vertical="center"/>
    </xf>
    <xf numFmtId="165" fontId="10" fillId="2" borderId="42" xfId="0" applyNumberFormat="1" applyFont="1" applyFill="1" applyBorder="1" applyAlignment="1" applyProtection="1">
      <alignment horizontal="center" vertical="center"/>
      <protection locked="0"/>
    </xf>
    <xf numFmtId="0" fontId="21" fillId="41" borderId="0" xfId="0" applyFont="1" applyFill="1"/>
    <xf numFmtId="0" fontId="47" fillId="41" borderId="0" xfId="2" applyFill="1"/>
    <xf numFmtId="0" fontId="60" fillId="41" borderId="0" xfId="8" applyFont="1" applyFill="1"/>
    <xf numFmtId="0" fontId="21" fillId="41" borderId="0" xfId="0" applyFont="1" applyFill="1" applyAlignment="1">
      <alignment vertical="center"/>
    </xf>
    <xf numFmtId="49" fontId="7" fillId="0" borderId="1" xfId="0" applyNumberFormat="1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hidden="1"/>
    </xf>
    <xf numFmtId="49" fontId="7" fillId="65" borderId="1" xfId="0" applyNumberFormat="1" applyFont="1" applyFill="1" applyBorder="1" applyAlignment="1" applyProtection="1">
      <alignment horizontal="center" vertical="center" wrapText="1"/>
      <protection locked="0"/>
    </xf>
    <xf numFmtId="49" fontId="7" fillId="65" borderId="1" xfId="0" applyNumberFormat="1" applyFont="1" applyFill="1" applyBorder="1" applyAlignment="1" applyProtection="1">
      <alignment horizontal="center" wrapText="1"/>
      <protection locked="0"/>
    </xf>
    <xf numFmtId="0" fontId="10" fillId="65" borderId="1" xfId="0" applyFont="1" applyFill="1" applyBorder="1" applyAlignment="1" applyProtection="1">
      <alignment horizontal="center" vertical="center" wrapText="1"/>
      <protection hidden="1"/>
    </xf>
    <xf numFmtId="0" fontId="3" fillId="65" borderId="1" xfId="0" applyFont="1" applyFill="1" applyBorder="1" applyAlignment="1" applyProtection="1">
      <alignment horizontal="center" vertical="center" wrapText="1"/>
      <protection locked="0"/>
    </xf>
    <xf numFmtId="0" fontId="7" fillId="65" borderId="1" xfId="0" applyFont="1" applyFill="1" applyBorder="1" applyAlignment="1" applyProtection="1">
      <alignment horizontal="center" wrapText="1"/>
      <protection locked="0"/>
    </xf>
    <xf numFmtId="15" fontId="10" fillId="65" borderId="1" xfId="0" applyNumberFormat="1" applyFont="1" applyFill="1" applyBorder="1" applyAlignment="1" applyProtection="1">
      <alignment horizontal="center" vertical="center" wrapText="1"/>
      <protection hidden="1"/>
    </xf>
    <xf numFmtId="10" fontId="7" fillId="41" borderId="1" xfId="0" applyNumberFormat="1" applyFont="1" applyFill="1" applyBorder="1" applyAlignment="1" applyProtection="1">
      <alignment horizontal="center" vertical="center" wrapText="1"/>
      <protection locked="0"/>
    </xf>
    <xf numFmtId="0" fontId="97" fillId="0" borderId="0" xfId="0" applyFont="1"/>
    <xf numFmtId="0" fontId="98" fillId="66" borderId="0" xfId="0" applyFont="1" applyFill="1" applyAlignment="1">
      <alignment horizontal="center"/>
    </xf>
    <xf numFmtId="0" fontId="0" fillId="0" borderId="80" xfId="0" applyBorder="1"/>
    <xf numFmtId="0" fontId="0" fillId="0" borderId="80" xfId="0" applyBorder="1" applyAlignment="1">
      <alignment horizontal="center"/>
    </xf>
    <xf numFmtId="0" fontId="0" fillId="0" borderId="80" xfId="0" applyBorder="1" applyAlignment="1">
      <alignment horizontal="center" vertical="center"/>
    </xf>
    <xf numFmtId="0" fontId="0" fillId="66" borderId="0" xfId="0" applyFill="1" applyAlignment="1">
      <alignment horizontal="center" vertical="center"/>
    </xf>
    <xf numFmtId="0" fontId="25" fillId="2" borderId="42" xfId="0" applyFont="1" applyFill="1" applyBorder="1" applyAlignment="1" applyProtection="1">
      <alignment horizontal="center" vertical="center"/>
      <protection locked="0"/>
    </xf>
    <xf numFmtId="0" fontId="82" fillId="0" borderId="58" xfId="0" applyFont="1" applyBorder="1" applyAlignment="1" applyProtection="1">
      <alignment horizontal="center" vertical="center"/>
      <protection locked="0"/>
    </xf>
    <xf numFmtId="15" fontId="0" fillId="0" borderId="76" xfId="0" applyNumberFormat="1" applyBorder="1" applyAlignment="1">
      <alignment horizontal="center"/>
    </xf>
    <xf numFmtId="15" fontId="99" fillId="0" borderId="0" xfId="0" applyNumberFormat="1" applyFont="1"/>
    <xf numFmtId="0" fontId="99" fillId="0" borderId="0" xfId="0" applyFont="1"/>
    <xf numFmtId="0" fontId="25" fillId="34" borderId="1" xfId="0" applyFont="1" applyFill="1" applyBorder="1" applyAlignment="1" applyProtection="1">
      <alignment vertical="center"/>
      <protection locked="0"/>
    </xf>
    <xf numFmtId="16" fontId="25" fillId="0" borderId="1" xfId="0" applyNumberFormat="1" applyFont="1" applyBorder="1" applyAlignment="1">
      <alignment vertical="center"/>
    </xf>
    <xf numFmtId="49" fontId="7" fillId="0" borderId="20" xfId="0" applyNumberFormat="1" applyFont="1" applyBorder="1" applyAlignment="1" applyProtection="1">
      <alignment horizontal="center" vertical="center" wrapText="1"/>
      <protection locked="0"/>
    </xf>
    <xf numFmtId="0" fontId="0" fillId="9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9" fillId="9" borderId="1" xfId="0" applyFont="1" applyFill="1" applyBorder="1" applyAlignment="1">
      <alignment horizontal="left" vertical="center"/>
    </xf>
    <xf numFmtId="0" fontId="10" fillId="37" borderId="1" xfId="0" applyFont="1" applyFill="1" applyBorder="1" applyAlignment="1">
      <alignment horizontal="left"/>
    </xf>
    <xf numFmtId="0" fontId="10" fillId="33" borderId="1" xfId="0" applyFont="1" applyFill="1" applyBorder="1" applyAlignment="1">
      <alignment horizontal="left"/>
    </xf>
    <xf numFmtId="0" fontId="96" fillId="37" borderId="1" xfId="0" applyFont="1" applyFill="1" applyBorder="1"/>
    <xf numFmtId="0" fontId="0" fillId="37" borderId="1" xfId="0" applyFill="1" applyBorder="1"/>
    <xf numFmtId="0" fontId="0" fillId="32" borderId="80" xfId="0" applyFill="1" applyBorder="1" applyAlignment="1">
      <alignment horizontal="center" vertical="center" indent="1"/>
    </xf>
    <xf numFmtId="0" fontId="0" fillId="0" borderId="53" xfId="0" applyBorder="1" applyAlignment="1">
      <alignment horizontal="center" vertical="center"/>
    </xf>
    <xf numFmtId="15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98" fillId="37" borderId="1" xfId="0" applyFont="1" applyFill="1" applyBorder="1" applyAlignment="1">
      <alignment horizontal="left"/>
    </xf>
    <xf numFmtId="0" fontId="101" fillId="26" borderId="1" xfId="8" applyFont="1" applyFill="1" applyBorder="1" applyAlignment="1">
      <alignment vertical="center"/>
    </xf>
    <xf numFmtId="0" fontId="102" fillId="0" borderId="0" xfId="0" applyFont="1"/>
    <xf numFmtId="0" fontId="94" fillId="26" borderId="1" xfId="2" applyFont="1" applyFill="1" applyBorder="1" applyAlignment="1">
      <alignment vertical="center" wrapText="1"/>
    </xf>
    <xf numFmtId="0" fontId="10" fillId="37" borderId="1" xfId="0" applyFont="1" applyFill="1" applyBorder="1" applyAlignment="1">
      <alignment horizontal="left" vertical="center"/>
    </xf>
    <xf numFmtId="165" fontId="10" fillId="0" borderId="33" xfId="0" applyNumberFormat="1" applyFont="1" applyBorder="1" applyAlignment="1">
      <alignment horizontal="center" vertical="center"/>
    </xf>
    <xf numFmtId="165" fontId="28" fillId="0" borderId="26" xfId="0" applyNumberFormat="1" applyFont="1" applyBorder="1" applyAlignment="1" applyProtection="1">
      <alignment horizontal="center" wrapText="1"/>
      <protection locked="0"/>
    </xf>
    <xf numFmtId="0" fontId="0" fillId="33" borderId="0" xfId="0" applyFill="1"/>
    <xf numFmtId="0" fontId="97" fillId="0" borderId="0" xfId="0" applyFont="1" applyAlignment="1">
      <alignment horizontal="center"/>
    </xf>
    <xf numFmtId="0" fontId="99" fillId="0" borderId="0" xfId="0" applyFont="1" applyAlignment="1">
      <alignment horizontal="center"/>
    </xf>
    <xf numFmtId="165" fontId="28" fillId="32" borderId="1" xfId="0" applyNumberFormat="1" applyFont="1" applyFill="1" applyBorder="1" applyAlignment="1" applyProtection="1">
      <alignment horizontal="center" wrapText="1"/>
      <protection locked="0"/>
    </xf>
    <xf numFmtId="0" fontId="52" fillId="53" borderId="1" xfId="0" applyFont="1" applyFill="1" applyBorder="1"/>
    <xf numFmtId="1" fontId="0" fillId="53" borderId="1" xfId="0" applyNumberFormat="1" applyFill="1" applyBorder="1" applyAlignment="1">
      <alignment horizontal="center" vertical="center"/>
    </xf>
    <xf numFmtId="0" fontId="0" fillId="53" borderId="1" xfId="0" applyFill="1" applyBorder="1" applyAlignment="1">
      <alignment horizontal="center" vertical="center"/>
    </xf>
    <xf numFmtId="0" fontId="10" fillId="53" borderId="1" xfId="0" applyFont="1" applyFill="1" applyBorder="1" applyAlignment="1">
      <alignment horizontal="center" vertical="center"/>
    </xf>
    <xf numFmtId="0" fontId="10" fillId="53" borderId="1" xfId="0" applyFont="1" applyFill="1" applyBorder="1" applyAlignment="1">
      <alignment horizontal="left"/>
    </xf>
    <xf numFmtId="0" fontId="0" fillId="53" borderId="1" xfId="0" applyFill="1" applyBorder="1" applyAlignment="1">
      <alignment horizontal="left"/>
    </xf>
    <xf numFmtId="2" fontId="0" fillId="53" borderId="1" xfId="0" applyNumberFormat="1" applyFill="1" applyBorder="1" applyAlignment="1">
      <alignment horizontal="left"/>
    </xf>
    <xf numFmtId="0" fontId="0" fillId="53" borderId="1" xfId="0" applyFill="1" applyBorder="1" applyAlignment="1">
      <alignment horizontal="center"/>
    </xf>
    <xf numFmtId="0" fontId="0" fillId="53" borderId="1" xfId="0" applyFill="1" applyBorder="1"/>
    <xf numFmtId="14" fontId="0" fillId="53" borderId="1" xfId="0" applyNumberFormat="1" applyFill="1" applyBorder="1" applyAlignment="1">
      <alignment horizontal="left"/>
    </xf>
    <xf numFmtId="0" fontId="7" fillId="53" borderId="1" xfId="0" applyFont="1" applyFill="1" applyBorder="1"/>
    <xf numFmtId="0" fontId="0" fillId="53" borderId="26" xfId="0" applyFill="1" applyBorder="1"/>
    <xf numFmtId="15" fontId="0" fillId="53" borderId="1" xfId="0" applyNumberFormat="1" applyFill="1" applyBorder="1"/>
    <xf numFmtId="0" fontId="0" fillId="53" borderId="0" xfId="0" applyFill="1"/>
    <xf numFmtId="14" fontId="10" fillId="53" borderId="1" xfId="0" applyNumberFormat="1" applyFont="1" applyFill="1" applyBorder="1" applyAlignment="1">
      <alignment horizontal="left"/>
    </xf>
    <xf numFmtId="1" fontId="0" fillId="53" borderId="9" xfId="0" applyNumberFormat="1" applyFill="1" applyBorder="1" applyAlignment="1">
      <alignment horizontal="center" vertical="center"/>
    </xf>
    <xf numFmtId="0" fontId="0" fillId="53" borderId="9" xfId="0" applyFill="1" applyBorder="1" applyAlignment="1">
      <alignment horizontal="center" vertical="center"/>
    </xf>
    <xf numFmtId="0" fontId="98" fillId="5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95" fillId="0" borderId="0" xfId="0" applyFont="1" applyAlignment="1">
      <alignment horizontal="center"/>
    </xf>
    <xf numFmtId="0" fontId="21" fillId="33" borderId="54" xfId="0" applyFont="1" applyFill="1" applyBorder="1" applyAlignment="1">
      <alignment horizontal="center" vertical="center"/>
    </xf>
    <xf numFmtId="0" fontId="36" fillId="33" borderId="54" xfId="0" applyFont="1" applyFill="1" applyBorder="1" applyAlignment="1">
      <alignment horizontal="center" vertical="center"/>
    </xf>
    <xf numFmtId="0" fontId="104" fillId="0" borderId="0" xfId="0" applyFont="1"/>
    <xf numFmtId="15" fontId="0" fillId="32" borderId="0" xfId="0" applyNumberFormat="1" applyFill="1" applyAlignment="1">
      <alignment horizontal="center"/>
    </xf>
    <xf numFmtId="49" fontId="6" fillId="9" borderId="0" xfId="0" applyNumberFormat="1" applyFont="1" applyFill="1" applyAlignment="1">
      <alignment vertical="center"/>
    </xf>
    <xf numFmtId="49" fontId="7" fillId="0" borderId="0" xfId="0" applyNumberFormat="1" applyFont="1" applyAlignment="1">
      <alignment vertical="center"/>
    </xf>
    <xf numFmtId="49" fontId="10" fillId="0" borderId="0" xfId="0" applyNumberFormat="1" applyFont="1" applyAlignment="1">
      <alignment vertical="center"/>
    </xf>
    <xf numFmtId="49" fontId="7" fillId="3" borderId="0" xfId="0" applyNumberFormat="1" applyFont="1" applyFill="1" applyAlignment="1" applyProtection="1">
      <alignment horizontal="center"/>
      <protection hidden="1"/>
    </xf>
    <xf numFmtId="10" fontId="0" fillId="3" borderId="0" xfId="0" applyNumberFormat="1" applyFill="1" applyAlignment="1" applyProtection="1">
      <alignment horizontal="center"/>
      <protection hidden="1"/>
    </xf>
    <xf numFmtId="0" fontId="105" fillId="41" borderId="0" xfId="0" applyFont="1" applyFill="1"/>
    <xf numFmtId="0" fontId="106" fillId="30" borderId="16" xfId="0" applyFont="1" applyFill="1" applyBorder="1" applyAlignment="1">
      <alignment horizontal="center" vertical="center"/>
    </xf>
    <xf numFmtId="0" fontId="106" fillId="0" borderId="0" xfId="0" applyFont="1" applyAlignment="1">
      <alignment vertical="center"/>
    </xf>
    <xf numFmtId="0" fontId="105" fillId="0" borderId="0" xfId="0" applyFont="1"/>
    <xf numFmtId="0" fontId="25" fillId="26" borderId="26" xfId="0" applyFont="1" applyFill="1" applyBorder="1" applyAlignment="1">
      <alignment horizontal="center" vertical="center"/>
    </xf>
    <xf numFmtId="0" fontId="107" fillId="0" borderId="1" xfId="0" applyFont="1" applyBorder="1" applyAlignment="1" applyProtection="1">
      <alignment horizontal="center" vertical="center"/>
      <protection locked="0"/>
    </xf>
    <xf numFmtId="0" fontId="57" fillId="26" borderId="1" xfId="0" applyFont="1" applyFill="1" applyBorder="1" applyAlignment="1">
      <alignment horizontal="center" vertical="center"/>
    </xf>
    <xf numFmtId="0" fontId="25" fillId="4" borderId="40" xfId="0" applyFont="1" applyFill="1" applyBorder="1" applyAlignment="1">
      <alignment horizontal="center" vertical="center"/>
    </xf>
    <xf numFmtId="0" fontId="25" fillId="4" borderId="28" xfId="0" applyFont="1" applyFill="1" applyBorder="1" applyAlignment="1">
      <alignment horizontal="center" vertical="center"/>
    </xf>
    <xf numFmtId="0" fontId="106" fillId="4" borderId="28" xfId="0" applyFont="1" applyFill="1" applyBorder="1" applyAlignment="1">
      <alignment horizontal="center" vertical="center"/>
    </xf>
    <xf numFmtId="0" fontId="25" fillId="28" borderId="28" xfId="0" applyFont="1" applyFill="1" applyBorder="1" applyAlignment="1">
      <alignment horizontal="center" vertical="center"/>
    </xf>
    <xf numFmtId="9" fontId="25" fillId="5" borderId="14" xfId="0" applyNumberFormat="1" applyFont="1" applyFill="1" applyBorder="1" applyAlignment="1">
      <alignment horizontal="center" vertical="center"/>
    </xf>
    <xf numFmtId="9" fontId="25" fillId="5" borderId="0" xfId="0" applyNumberFormat="1" applyFont="1" applyFill="1" applyAlignment="1">
      <alignment horizontal="center" vertical="center"/>
    </xf>
    <xf numFmtId="9" fontId="106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165" fontId="57" fillId="0" borderId="1" xfId="0" applyNumberFormat="1" applyFont="1" applyBorder="1" applyAlignment="1">
      <alignment horizontal="center" vertical="center"/>
    </xf>
    <xf numFmtId="0" fontId="94" fillId="26" borderId="1" xfId="2" applyFont="1" applyFill="1" applyBorder="1" applyAlignment="1" applyProtection="1">
      <alignment vertical="center" wrapText="1"/>
      <protection locked="0"/>
    </xf>
    <xf numFmtId="0" fontId="25" fillId="4" borderId="11" xfId="0" applyFont="1" applyFill="1" applyBorder="1" applyAlignment="1">
      <alignment horizontal="center" vertical="center"/>
    </xf>
    <xf numFmtId="0" fontId="25" fillId="0" borderId="27" xfId="0" applyFont="1" applyBorder="1" applyAlignment="1">
      <alignment horizontal="center" vertical="center" wrapText="1"/>
    </xf>
    <xf numFmtId="0" fontId="26" fillId="0" borderId="24" xfId="0" applyFont="1" applyBorder="1" applyAlignment="1" applyProtection="1">
      <alignment horizontal="center" vertical="center"/>
      <protection locked="0"/>
    </xf>
    <xf numFmtId="0" fontId="10" fillId="32" borderId="80" xfId="0" applyFont="1" applyFill="1" applyBorder="1" applyAlignment="1">
      <alignment horizontal="center" vertical="center" indent="1"/>
    </xf>
    <xf numFmtId="0" fontId="0" fillId="0" borderId="4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28" fillId="67" borderId="1" xfId="0" applyNumberFormat="1" applyFont="1" applyFill="1" applyBorder="1" applyAlignment="1" applyProtection="1">
      <alignment horizontal="center" wrapText="1"/>
      <protection locked="0"/>
    </xf>
    <xf numFmtId="165" fontId="28" fillId="67" borderId="26" xfId="0" applyNumberFormat="1" applyFont="1" applyFill="1" applyBorder="1" applyAlignment="1" applyProtection="1">
      <alignment horizontal="center" vertical="center" wrapText="1"/>
      <protection locked="0"/>
    </xf>
    <xf numFmtId="165" fontId="28" fillId="67" borderId="26" xfId="0" applyNumberFormat="1" applyFont="1" applyFill="1" applyBorder="1" applyAlignment="1" applyProtection="1">
      <alignment horizontal="center" wrapText="1"/>
      <protection locked="0"/>
    </xf>
    <xf numFmtId="0" fontId="0" fillId="0" borderId="31" xfId="0" applyBorder="1" applyAlignment="1">
      <alignment horizontal="center" vertical="center"/>
    </xf>
    <xf numFmtId="49" fontId="10" fillId="0" borderId="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vertical="center"/>
    </xf>
    <xf numFmtId="0" fontId="0" fillId="32" borderId="98" xfId="0" applyFill="1" applyBorder="1" applyAlignment="1">
      <alignment horizontal="center" vertical="center" indent="1"/>
    </xf>
    <xf numFmtId="0" fontId="0" fillId="33" borderId="100" xfId="0" applyFill="1" applyBorder="1" applyAlignment="1">
      <alignment horizontal="center" vertical="center" indent="1"/>
    </xf>
    <xf numFmtId="0" fontId="0" fillId="0" borderId="0" xfId="0" applyAlignment="1">
      <alignment horizontal="center" vertical="center" indent="1"/>
    </xf>
    <xf numFmtId="0" fontId="10" fillId="0" borderId="0" xfId="0" applyFont="1" applyAlignment="1">
      <alignment horizontal="center" vertical="center" indent="1"/>
    </xf>
    <xf numFmtId="0" fontId="0" fillId="33" borderId="101" xfId="0" applyFill="1" applyBorder="1" applyAlignment="1">
      <alignment horizontal="center" vertical="center" indent="1"/>
    </xf>
    <xf numFmtId="0" fontId="0" fillId="0" borderId="97" xfId="0" applyBorder="1" applyAlignment="1">
      <alignment horizontal="center"/>
    </xf>
    <xf numFmtId="0" fontId="0" fillId="0" borderId="99" xfId="0" applyBorder="1" applyAlignment="1">
      <alignment horizontal="center"/>
    </xf>
    <xf numFmtId="0" fontId="0" fillId="0" borderId="100" xfId="0" applyBorder="1" applyAlignment="1">
      <alignment horizontal="center"/>
    </xf>
    <xf numFmtId="0" fontId="10" fillId="0" borderId="100" xfId="0" applyFont="1" applyBorder="1" applyAlignment="1">
      <alignment horizontal="center" vertical="center" indent="1"/>
    </xf>
    <xf numFmtId="0" fontId="0" fillId="0" borderId="100" xfId="0" applyBorder="1" applyAlignment="1">
      <alignment horizontal="center" vertical="center" indent="1"/>
    </xf>
    <xf numFmtId="0" fontId="108" fillId="41" borderId="94" xfId="0" applyFont="1" applyFill="1" applyBorder="1"/>
    <xf numFmtId="0" fontId="108" fillId="41" borderId="95" xfId="0" applyFont="1" applyFill="1" applyBorder="1" applyAlignment="1">
      <alignment horizontal="center"/>
    </xf>
    <xf numFmtId="0" fontId="63" fillId="41" borderId="95" xfId="0" applyFont="1" applyFill="1" applyBorder="1" applyAlignment="1">
      <alignment horizontal="center" vertical="center"/>
    </xf>
    <xf numFmtId="0" fontId="108" fillId="41" borderId="97" xfId="0" applyFont="1" applyFill="1" applyBorder="1" applyAlignment="1">
      <alignment horizontal="center" vertical="center" indent="1"/>
    </xf>
    <xf numFmtId="0" fontId="108" fillId="41" borderId="80" xfId="0" applyFont="1" applyFill="1" applyBorder="1" applyAlignment="1">
      <alignment horizontal="center"/>
    </xf>
    <xf numFmtId="0" fontId="108" fillId="41" borderId="80" xfId="0" applyFont="1" applyFill="1" applyBorder="1" applyAlignment="1">
      <alignment horizontal="center" vertical="center" indent="1"/>
    </xf>
    <xf numFmtId="0" fontId="63" fillId="41" borderId="96" xfId="0" applyFont="1" applyFill="1" applyBorder="1" applyAlignment="1">
      <alignment horizontal="center" vertical="center"/>
    </xf>
    <xf numFmtId="0" fontId="108" fillId="41" borderId="98" xfId="0" applyFont="1" applyFill="1" applyBorder="1" applyAlignment="1">
      <alignment horizontal="center" vertical="center" indent="1"/>
    </xf>
    <xf numFmtId="165" fontId="28" fillId="34" borderId="1" xfId="0" applyNumberFormat="1" applyFont="1" applyFill="1" applyBorder="1" applyAlignment="1" applyProtection="1">
      <alignment horizontal="center" wrapText="1"/>
      <protection locked="0"/>
    </xf>
    <xf numFmtId="0" fontId="3" fillId="37" borderId="1" xfId="0" applyFont="1" applyFill="1" applyBorder="1" applyAlignment="1" applyProtection="1">
      <alignment horizontal="center" vertical="center" wrapText="1"/>
      <protection locked="0"/>
    </xf>
    <xf numFmtId="9" fontId="25" fillId="5" borderId="76" xfId="0" applyNumberFormat="1" applyFont="1" applyFill="1" applyBorder="1" applyAlignment="1">
      <alignment horizontal="center" vertical="center" wrapText="1"/>
    </xf>
    <xf numFmtId="0" fontId="25" fillId="41" borderId="0" xfId="0" applyFont="1" applyFill="1"/>
    <xf numFmtId="49" fontId="0" fillId="0" borderId="0" xfId="0" applyNumberFormat="1" applyAlignment="1">
      <alignment horizontal="center" vertical="center"/>
    </xf>
    <xf numFmtId="0" fontId="0" fillId="27" borderId="1" xfId="0" applyFill="1" applyBorder="1" applyAlignment="1">
      <alignment horizontal="center"/>
    </xf>
    <xf numFmtId="0" fontId="0" fillId="35" borderId="0" xfId="0" applyFill="1" applyAlignment="1">
      <alignment horizontal="center"/>
    </xf>
    <xf numFmtId="0" fontId="0" fillId="35" borderId="80" xfId="0" applyFill="1" applyBorder="1"/>
    <xf numFmtId="14" fontId="0" fillId="35" borderId="26" xfId="0" applyNumberFormat="1" applyFill="1" applyBorder="1" applyAlignment="1">
      <alignment horizontal="left"/>
    </xf>
    <xf numFmtId="14" fontId="10" fillId="35" borderId="26" xfId="0" applyNumberFormat="1" applyFont="1" applyFill="1" applyBorder="1" applyAlignment="1">
      <alignment horizontal="left"/>
    </xf>
    <xf numFmtId="0" fontId="0" fillId="55" borderId="16" xfId="0" applyFill="1" applyBorder="1"/>
    <xf numFmtId="0" fontId="10" fillId="34" borderId="20" xfId="0" applyFont="1" applyFill="1" applyBorder="1"/>
    <xf numFmtId="0" fontId="0" fillId="34" borderId="20" xfId="0" applyFill="1" applyBorder="1"/>
    <xf numFmtId="0" fontId="0" fillId="34" borderId="32" xfId="0" applyFill="1" applyBorder="1"/>
    <xf numFmtId="15" fontId="0" fillId="34" borderId="20" xfId="0" applyNumberFormat="1" applyFill="1" applyBorder="1"/>
    <xf numFmtId="0" fontId="7" fillId="27" borderId="1" xfId="0" applyFont="1" applyFill="1" applyBorder="1"/>
    <xf numFmtId="0" fontId="0" fillId="27" borderId="0" xfId="0" applyFill="1"/>
    <xf numFmtId="0" fontId="10" fillId="0" borderId="9" xfId="0" applyFont="1" applyBorder="1" applyAlignment="1">
      <alignment horizontal="center" vertical="center"/>
    </xf>
    <xf numFmtId="0" fontId="7" fillId="9" borderId="32" xfId="0" applyFont="1" applyFill="1" applyBorder="1" applyAlignment="1">
      <alignment horizontal="center" vertical="center"/>
    </xf>
    <xf numFmtId="0" fontId="10" fillId="0" borderId="26" xfId="0" applyFont="1" applyBorder="1"/>
    <xf numFmtId="0" fontId="10" fillId="0" borderId="26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 wrapText="1"/>
      <protection locked="0"/>
    </xf>
    <xf numFmtId="0" fontId="47" fillId="21" borderId="26" xfId="2" applyBorder="1" applyAlignment="1" applyProtection="1">
      <alignment horizontal="center" vertical="center"/>
      <protection locked="0"/>
    </xf>
    <xf numFmtId="49" fontId="7" fillId="26" borderId="80" xfId="0" applyNumberFormat="1" applyFont="1" applyFill="1" applyBorder="1" applyAlignment="1" applyProtection="1">
      <alignment horizontal="center"/>
      <protection locked="0"/>
    </xf>
    <xf numFmtId="49" fontId="7" fillId="0" borderId="26" xfId="0" applyNumberFormat="1" applyFont="1" applyBorder="1" applyAlignment="1" applyProtection="1">
      <alignment horizontal="center"/>
      <protection locked="0"/>
    </xf>
    <xf numFmtId="49" fontId="7" fillId="26" borderId="33" xfId="0" applyNumberFormat="1" applyFont="1" applyFill="1" applyBorder="1" applyAlignment="1" applyProtection="1">
      <alignment horizontal="center"/>
      <protection locked="0"/>
    </xf>
    <xf numFmtId="49" fontId="7" fillId="26" borderId="9" xfId="0" applyNumberFormat="1" applyFont="1" applyFill="1" applyBorder="1" applyAlignment="1" applyProtection="1">
      <alignment horizontal="center"/>
      <protection locked="0"/>
    </xf>
    <xf numFmtId="49" fontId="7" fillId="26" borderId="20" xfId="0" applyNumberFormat="1" applyFont="1" applyFill="1" applyBorder="1" applyAlignment="1" applyProtection="1">
      <alignment horizontal="center"/>
      <protection locked="0"/>
    </xf>
    <xf numFmtId="0" fontId="10" fillId="0" borderId="80" xfId="0" applyFont="1" applyBorder="1" applyAlignment="1" applyProtection="1">
      <alignment horizontal="center" vertical="center"/>
      <protection locked="0"/>
    </xf>
    <xf numFmtId="0" fontId="0" fillId="0" borderId="88" xfId="0" applyBorder="1"/>
    <xf numFmtId="49" fontId="7" fillId="9" borderId="20" xfId="0" applyNumberFormat="1" applyFont="1" applyFill="1" applyBorder="1" applyAlignment="1" applyProtection="1">
      <alignment horizontal="center" vertical="center"/>
      <protection locked="0"/>
    </xf>
    <xf numFmtId="49" fontId="7" fillId="9" borderId="20" xfId="0" applyNumberFormat="1" applyFont="1" applyFill="1" applyBorder="1" applyAlignment="1" applyProtection="1">
      <alignment horizontal="center" vertical="center" wrapText="1"/>
      <protection locked="0"/>
    </xf>
    <xf numFmtId="10" fontId="7" fillId="9" borderId="20" xfId="0" applyNumberFormat="1" applyFont="1" applyFill="1" applyBorder="1" applyAlignment="1" applyProtection="1">
      <alignment horizontal="center" vertical="center"/>
      <protection locked="0"/>
    </xf>
    <xf numFmtId="0" fontId="7" fillId="9" borderId="20" xfId="0" applyFont="1" applyFill="1" applyBorder="1" applyAlignment="1" applyProtection="1">
      <alignment horizontal="center" vertical="center"/>
      <protection locked="0"/>
    </xf>
    <xf numFmtId="0" fontId="0" fillId="47" borderId="102" xfId="0" applyFill="1" applyBorder="1"/>
    <xf numFmtId="0" fontId="7" fillId="68" borderId="1" xfId="0" applyFont="1" applyFill="1" applyBorder="1" applyAlignment="1">
      <alignment horizontal="center"/>
    </xf>
    <xf numFmtId="0" fontId="0" fillId="68" borderId="1" xfId="0" applyFill="1" applyBorder="1"/>
    <xf numFmtId="0" fontId="0" fillId="68" borderId="1" xfId="0" applyFill="1" applyBorder="1" applyAlignment="1">
      <alignment horizontal="center"/>
    </xf>
    <xf numFmtId="0" fontId="0" fillId="68" borderId="26" xfId="0" applyFill="1" applyBorder="1" applyAlignment="1">
      <alignment horizontal="center" vertical="center" wrapText="1"/>
    </xf>
    <xf numFmtId="0" fontId="0" fillId="68" borderId="102" xfId="0" applyFill="1" applyBorder="1"/>
    <xf numFmtId="0" fontId="35" fillId="2" borderId="42" xfId="0" applyFont="1" applyFill="1" applyBorder="1" applyAlignment="1" applyProtection="1">
      <alignment vertical="center"/>
      <protection locked="0"/>
    </xf>
    <xf numFmtId="0" fontId="35" fillId="2" borderId="42" xfId="0" applyFont="1" applyFill="1" applyBorder="1" applyAlignment="1">
      <alignment horizontal="center" vertical="center"/>
    </xf>
    <xf numFmtId="0" fontId="35" fillId="2" borderId="44" xfId="0" applyFont="1" applyFill="1" applyBorder="1" applyAlignment="1">
      <alignment horizontal="center" vertical="center"/>
    </xf>
    <xf numFmtId="0" fontId="35" fillId="29" borderId="45" xfId="0" applyFont="1" applyFill="1" applyBorder="1" applyAlignment="1">
      <alignment horizontal="center" vertical="center"/>
    </xf>
    <xf numFmtId="0" fontId="15" fillId="33" borderId="0" xfId="0" applyFont="1" applyFill="1" applyAlignment="1">
      <alignment horizontal="left" vertical="center"/>
    </xf>
    <xf numFmtId="0" fontId="113" fillId="44" borderId="0" xfId="0" applyFont="1" applyFill="1" applyAlignment="1">
      <alignment horizontal="center" vertical="center"/>
    </xf>
    <xf numFmtId="15" fontId="45" fillId="26" borderId="1" xfId="0" applyNumberFormat="1" applyFont="1" applyFill="1" applyBorder="1" applyAlignment="1">
      <alignment horizontal="right"/>
    </xf>
    <xf numFmtId="0" fontId="95" fillId="0" borderId="80" xfId="0" applyFont="1" applyBorder="1"/>
    <xf numFmtId="9" fontId="106" fillId="5" borderId="26" xfId="0" applyNumberFormat="1" applyFont="1" applyFill="1" applyBorder="1" applyAlignment="1">
      <alignment horizontal="center" vertical="center"/>
    </xf>
    <xf numFmtId="0" fontId="25" fillId="26" borderId="32" xfId="0" applyFont="1" applyFill="1" applyBorder="1" applyAlignment="1">
      <alignment horizontal="center" vertical="center"/>
    </xf>
    <xf numFmtId="0" fontId="25" fillId="0" borderId="9" xfId="0" applyFont="1" applyBorder="1" applyAlignment="1">
      <alignment vertical="center"/>
    </xf>
    <xf numFmtId="0" fontId="25" fillId="0" borderId="20" xfId="0" applyFont="1" applyBorder="1" applyAlignment="1" applyProtection="1">
      <alignment horizontal="left" vertical="center" wrapText="1"/>
      <protection locked="0"/>
    </xf>
    <xf numFmtId="0" fontId="114" fillId="0" borderId="0" xfId="0" applyFont="1" applyAlignment="1">
      <alignment horizontal="center"/>
    </xf>
    <xf numFmtId="14" fontId="114" fillId="0" borderId="0" xfId="0" applyNumberFormat="1" applyFont="1" applyAlignment="1">
      <alignment horizontal="center"/>
    </xf>
    <xf numFmtId="0" fontId="115" fillId="69" borderId="1" xfId="0" applyFont="1" applyFill="1" applyBorder="1"/>
    <xf numFmtId="14" fontId="15" fillId="30" borderId="80" xfId="0" applyNumberFormat="1" applyFont="1" applyFill="1" applyBorder="1" applyAlignment="1">
      <alignment horizontal="left" vertical="center"/>
    </xf>
    <xf numFmtId="0" fontId="15" fillId="37" borderId="80" xfId="0" applyFont="1" applyFill="1" applyBorder="1" applyAlignment="1">
      <alignment horizontal="left" vertical="center"/>
    </xf>
    <xf numFmtId="0" fontId="35" fillId="2" borderId="103" xfId="0" applyFont="1" applyFill="1" applyBorder="1" applyAlignment="1">
      <alignment horizontal="center" vertical="center"/>
    </xf>
    <xf numFmtId="0" fontId="25" fillId="70" borderId="40" xfId="0" applyFont="1" applyFill="1" applyBorder="1"/>
    <xf numFmtId="0" fontId="25" fillId="0" borderId="0" xfId="0" applyFont="1" applyAlignment="1">
      <alignment wrapText="1"/>
    </xf>
    <xf numFmtId="0" fontId="118" fillId="0" borderId="0" xfId="0" applyFont="1" applyAlignment="1">
      <alignment wrapText="1"/>
    </xf>
    <xf numFmtId="0" fontId="118" fillId="0" borderId="0" xfId="0" applyFont="1" applyAlignment="1">
      <alignment horizontal="center" vertical="center" wrapText="1"/>
    </xf>
    <xf numFmtId="0" fontId="119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8" fillId="0" borderId="0" xfId="0" applyFont="1" applyAlignment="1">
      <alignment horizontal="center" wrapText="1"/>
    </xf>
    <xf numFmtId="0" fontId="20" fillId="0" borderId="0" xfId="0" applyFont="1"/>
    <xf numFmtId="0" fontId="20" fillId="0" borderId="0" xfId="0" applyFont="1" applyAlignment="1">
      <alignment wrapText="1"/>
    </xf>
    <xf numFmtId="49" fontId="35" fillId="2" borderId="59" xfId="0" applyNumberFormat="1" applyFont="1" applyFill="1" applyBorder="1" applyAlignment="1" applyProtection="1">
      <alignment horizontal="center" vertical="center"/>
      <protection locked="0"/>
    </xf>
    <xf numFmtId="49" fontId="35" fillId="2" borderId="39" xfId="0" applyNumberFormat="1" applyFont="1" applyFill="1" applyBorder="1" applyAlignment="1" applyProtection="1">
      <alignment horizontal="center" vertical="center"/>
      <protection locked="0"/>
    </xf>
    <xf numFmtId="0" fontId="25" fillId="26" borderId="9" xfId="0" applyFont="1" applyFill="1" applyBorder="1" applyAlignment="1">
      <alignment horizontal="center" vertical="center"/>
    </xf>
    <xf numFmtId="0" fontId="25" fillId="26" borderId="20" xfId="0" applyFont="1" applyFill="1" applyBorder="1" applyAlignment="1">
      <alignment horizontal="center" vertical="center"/>
    </xf>
    <xf numFmtId="49" fontId="56" fillId="53" borderId="20" xfId="0" applyNumberFormat="1" applyFont="1" applyFill="1" applyBorder="1" applyAlignment="1">
      <alignment horizontal="center" vertical="center"/>
    </xf>
    <xf numFmtId="49" fontId="56" fillId="53" borderId="1" xfId="0" applyNumberFormat="1" applyFont="1" applyFill="1" applyBorder="1" applyAlignment="1">
      <alignment horizontal="center" vertical="center"/>
    </xf>
    <xf numFmtId="49" fontId="56" fillId="53" borderId="104" xfId="0" applyNumberFormat="1" applyFont="1" applyFill="1" applyBorder="1" applyAlignment="1">
      <alignment horizontal="center" vertical="center"/>
    </xf>
    <xf numFmtId="49" fontId="56" fillId="53" borderId="105" xfId="0" applyNumberFormat="1" applyFont="1" applyFill="1" applyBorder="1" applyAlignment="1">
      <alignment horizontal="center" vertical="center"/>
    </xf>
    <xf numFmtId="49" fontId="56" fillId="53" borderId="110" xfId="0" applyNumberFormat="1" applyFont="1" applyFill="1" applyBorder="1" applyAlignment="1">
      <alignment horizontal="center" vertical="center"/>
    </xf>
    <xf numFmtId="49" fontId="56" fillId="53" borderId="111" xfId="0" applyNumberFormat="1" applyFont="1" applyFill="1" applyBorder="1" applyAlignment="1">
      <alignment horizontal="center" vertical="center"/>
    </xf>
    <xf numFmtId="49" fontId="56" fillId="53" borderId="94" xfId="0" applyNumberFormat="1" applyFont="1" applyFill="1" applyBorder="1" applyAlignment="1">
      <alignment horizontal="center" vertical="center"/>
    </xf>
    <xf numFmtId="49" fontId="56" fillId="53" borderId="95" xfId="0" applyNumberFormat="1" applyFont="1" applyFill="1" applyBorder="1" applyAlignment="1">
      <alignment horizontal="center" vertical="center"/>
    </xf>
    <xf numFmtId="49" fontId="56" fillId="53" borderId="97" xfId="0" applyNumberFormat="1" applyFont="1" applyFill="1" applyBorder="1" applyAlignment="1">
      <alignment horizontal="center" vertical="center"/>
    </xf>
    <xf numFmtId="49" fontId="56" fillId="53" borderId="80" xfId="0" applyNumberFormat="1" applyFont="1" applyFill="1" applyBorder="1" applyAlignment="1">
      <alignment horizontal="center" vertical="center"/>
    </xf>
    <xf numFmtId="49" fontId="56" fillId="53" borderId="123" xfId="0" applyNumberFormat="1" applyFont="1" applyFill="1" applyBorder="1" applyAlignment="1">
      <alignment horizontal="center" vertical="center"/>
    </xf>
    <xf numFmtId="49" fontId="56" fillId="53" borderId="87" xfId="0" applyNumberFormat="1" applyFont="1" applyFill="1" applyBorder="1" applyAlignment="1">
      <alignment horizontal="center" vertical="center"/>
    </xf>
    <xf numFmtId="49" fontId="56" fillId="72" borderId="104" xfId="0" applyNumberFormat="1" applyFont="1" applyFill="1" applyBorder="1" applyAlignment="1">
      <alignment horizontal="center" vertical="center"/>
    </xf>
    <xf numFmtId="49" fontId="56" fillId="72" borderId="105" xfId="0" applyNumberFormat="1" applyFont="1" applyFill="1" applyBorder="1" applyAlignment="1">
      <alignment horizontal="center" vertical="center"/>
    </xf>
    <xf numFmtId="49" fontId="56" fillId="72" borderId="110" xfId="0" applyNumberFormat="1" applyFont="1" applyFill="1" applyBorder="1" applyAlignment="1">
      <alignment horizontal="center" vertical="center"/>
    </xf>
    <xf numFmtId="49" fontId="56" fillId="72" borderId="111" xfId="0" applyNumberFormat="1" applyFont="1" applyFill="1" applyBorder="1" applyAlignment="1">
      <alignment horizontal="center" vertical="center"/>
    </xf>
    <xf numFmtId="49" fontId="56" fillId="72" borderId="121" xfId="0" applyNumberFormat="1" applyFont="1" applyFill="1" applyBorder="1" applyAlignment="1">
      <alignment horizontal="center" vertical="center"/>
    </xf>
    <xf numFmtId="49" fontId="56" fillId="72" borderId="9" xfId="0" applyNumberFormat="1" applyFont="1" applyFill="1" applyBorder="1" applyAlignment="1">
      <alignment horizontal="center" vertical="center"/>
    </xf>
    <xf numFmtId="49" fontId="56" fillId="72" borderId="119" xfId="0" applyNumberFormat="1" applyFont="1" applyFill="1" applyBorder="1" applyAlignment="1">
      <alignment horizontal="left" vertical="center" wrapText="1"/>
    </xf>
    <xf numFmtId="49" fontId="56" fillId="53" borderId="124" xfId="0" applyNumberFormat="1" applyFont="1" applyFill="1" applyBorder="1" applyAlignment="1">
      <alignment horizontal="left" vertical="center" wrapText="1"/>
    </xf>
    <xf numFmtId="49" fontId="56" fillId="72" borderId="1" xfId="0" applyNumberFormat="1" applyFont="1" applyFill="1" applyBorder="1" applyAlignment="1">
      <alignment horizontal="center" vertical="center"/>
    </xf>
    <xf numFmtId="49" fontId="56" fillId="53" borderId="121" xfId="0" applyNumberFormat="1" applyFont="1" applyFill="1" applyBorder="1" applyAlignment="1">
      <alignment horizontal="center" vertical="center"/>
    </xf>
    <xf numFmtId="49" fontId="56" fillId="53" borderId="9" xfId="0" applyNumberFormat="1" applyFont="1" applyFill="1" applyBorder="1" applyAlignment="1">
      <alignment horizontal="center" vertical="center"/>
    </xf>
    <xf numFmtId="49" fontId="56" fillId="53" borderId="122" xfId="0" applyNumberFormat="1" applyFont="1" applyFill="1" applyBorder="1" applyAlignment="1">
      <alignment vertical="center" wrapText="1"/>
    </xf>
    <xf numFmtId="49" fontId="56" fillId="72" borderId="108" xfId="0" applyNumberFormat="1" applyFont="1" applyFill="1" applyBorder="1" applyAlignment="1">
      <alignment horizontal="center" vertical="center"/>
    </xf>
    <xf numFmtId="49" fontId="56" fillId="53" borderId="16" xfId="0" applyNumberFormat="1" applyFont="1" applyFill="1" applyBorder="1" applyAlignment="1">
      <alignment horizontal="center" vertical="center"/>
    </xf>
    <xf numFmtId="49" fontId="56" fillId="53" borderId="16" xfId="0" applyNumberFormat="1" applyFont="1" applyFill="1" applyBorder="1" applyAlignment="1">
      <alignment horizontal="left" vertical="center" wrapText="1"/>
    </xf>
    <xf numFmtId="49" fontId="56" fillId="53" borderId="126" xfId="0" applyNumberFormat="1" applyFont="1" applyFill="1" applyBorder="1" applyAlignment="1">
      <alignment horizontal="center" vertical="center"/>
    </xf>
    <xf numFmtId="49" fontId="56" fillId="53" borderId="113" xfId="0" applyNumberFormat="1" applyFont="1" applyFill="1" applyBorder="1" applyAlignment="1">
      <alignment vertical="center" wrapText="1"/>
    </xf>
    <xf numFmtId="49" fontId="56" fillId="53" borderId="114" xfId="0" applyNumberFormat="1" applyFont="1" applyFill="1" applyBorder="1" applyAlignment="1">
      <alignment vertical="center" wrapText="1"/>
    </xf>
    <xf numFmtId="49" fontId="56" fillId="53" borderId="99" xfId="0" applyNumberFormat="1" applyFont="1" applyFill="1" applyBorder="1" applyAlignment="1">
      <alignment horizontal="center" vertical="center"/>
    </xf>
    <xf numFmtId="49" fontId="56" fillId="53" borderId="100" xfId="0" applyNumberFormat="1" applyFont="1" applyFill="1" applyBorder="1" applyAlignment="1">
      <alignment horizontal="center" vertical="center"/>
    </xf>
    <xf numFmtId="0" fontId="56" fillId="72" borderId="127" xfId="0" applyFont="1" applyFill="1" applyBorder="1" applyAlignment="1">
      <alignment horizontal="center" vertical="center"/>
    </xf>
    <xf numFmtId="0" fontId="24" fillId="53" borderId="0" xfId="0" applyFont="1" applyFill="1" applyAlignment="1">
      <alignment horizontal="center" vertical="center"/>
    </xf>
    <xf numFmtId="49" fontId="56" fillId="72" borderId="9" xfId="0" applyNumberFormat="1" applyFont="1" applyFill="1" applyBorder="1" applyAlignment="1">
      <alignment horizontal="left" vertical="center" wrapText="1"/>
    </xf>
    <xf numFmtId="49" fontId="56" fillId="53" borderId="108" xfId="0" applyNumberFormat="1" applyFont="1" applyFill="1" applyBorder="1" applyAlignment="1">
      <alignment horizontal="center" vertical="center"/>
    </xf>
    <xf numFmtId="49" fontId="56" fillId="72" borderId="80" xfId="0" applyNumberFormat="1" applyFont="1" applyFill="1" applyBorder="1" applyAlignment="1">
      <alignment horizontal="center" vertical="center"/>
    </xf>
    <xf numFmtId="49" fontId="56" fillId="72" borderId="87" xfId="0" applyNumberFormat="1" applyFont="1" applyFill="1" applyBorder="1" applyAlignment="1">
      <alignment horizontal="center" vertical="center"/>
    </xf>
    <xf numFmtId="49" fontId="103" fillId="72" borderId="16" xfId="0" applyNumberFormat="1" applyFont="1" applyFill="1" applyBorder="1" applyAlignment="1">
      <alignment horizontal="center" vertical="center"/>
    </xf>
    <xf numFmtId="49" fontId="56" fillId="72" borderId="16" xfId="0" applyNumberFormat="1" applyFont="1" applyFill="1" applyBorder="1" applyAlignment="1">
      <alignment horizontal="center" vertical="center"/>
    </xf>
    <xf numFmtId="49" fontId="56" fillId="72" borderId="16" xfId="0" applyNumberFormat="1" applyFont="1" applyFill="1" applyBorder="1" applyAlignment="1">
      <alignment horizontal="left" vertical="center" wrapText="1"/>
    </xf>
    <xf numFmtId="49" fontId="56" fillId="53" borderId="125" xfId="0" applyNumberFormat="1" applyFont="1" applyFill="1" applyBorder="1" applyAlignment="1">
      <alignment vertical="center" wrapText="1"/>
    </xf>
    <xf numFmtId="49" fontId="56" fillId="53" borderId="128" xfId="0" applyNumberFormat="1" applyFont="1" applyFill="1" applyBorder="1" applyAlignment="1">
      <alignment horizontal="center" vertical="center"/>
    </xf>
    <xf numFmtId="49" fontId="56" fillId="53" borderId="129" xfId="0" applyNumberFormat="1" applyFont="1" applyFill="1" applyBorder="1" applyAlignment="1">
      <alignment horizontal="center" vertical="center"/>
    </xf>
    <xf numFmtId="49" fontId="56" fillId="53" borderId="130" xfId="0" applyNumberFormat="1" applyFont="1" applyFill="1" applyBorder="1" applyAlignment="1">
      <alignment horizontal="left" vertical="center" wrapText="1"/>
    </xf>
    <xf numFmtId="49" fontId="56" fillId="72" borderId="88" xfId="0" applyNumberFormat="1" applyFont="1" applyFill="1" applyBorder="1" applyAlignment="1">
      <alignment horizontal="center" vertical="center"/>
    </xf>
    <xf numFmtId="0" fontId="25" fillId="26" borderId="0" xfId="0" applyFont="1" applyFill="1" applyAlignment="1">
      <alignment horizontal="left" vertical="center"/>
    </xf>
    <xf numFmtId="49" fontId="35" fillId="26" borderId="39" xfId="0" applyNumberFormat="1" applyFont="1" applyFill="1" applyBorder="1" applyAlignment="1" applyProtection="1">
      <alignment horizontal="left" vertical="center" wrapText="1"/>
      <protection locked="0"/>
    </xf>
    <xf numFmtId="49" fontId="56" fillId="72" borderId="122" xfId="0" applyNumberFormat="1" applyFont="1" applyFill="1" applyBorder="1" applyAlignment="1">
      <alignment horizontal="left" vertical="center" wrapText="1"/>
    </xf>
    <xf numFmtId="49" fontId="56" fillId="53" borderId="119" xfId="0" applyNumberFormat="1" applyFont="1" applyFill="1" applyBorder="1" applyAlignment="1">
      <alignment horizontal="left" vertical="center" wrapText="1"/>
    </xf>
    <xf numFmtId="49" fontId="56" fillId="53" borderId="122" xfId="0" applyNumberFormat="1" applyFont="1" applyFill="1" applyBorder="1" applyAlignment="1">
      <alignment horizontal="left" vertical="center" wrapText="1"/>
    </xf>
    <xf numFmtId="49" fontId="56" fillId="72" borderId="120" xfId="0" applyNumberFormat="1" applyFont="1" applyFill="1" applyBorder="1" applyAlignment="1">
      <alignment horizontal="left" vertical="center" wrapText="1"/>
    </xf>
    <xf numFmtId="49" fontId="103" fillId="72" borderId="16" xfId="0" applyNumberFormat="1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49" fontId="103" fillId="72" borderId="80" xfId="0" applyNumberFormat="1" applyFont="1" applyFill="1" applyBorder="1" applyAlignment="1">
      <alignment horizontal="center" vertical="center"/>
    </xf>
    <xf numFmtId="49" fontId="103" fillId="72" borderId="88" xfId="0" applyNumberFormat="1" applyFont="1" applyFill="1" applyBorder="1" applyAlignment="1">
      <alignment horizontal="center" vertical="center"/>
    </xf>
    <xf numFmtId="49" fontId="56" fillId="53" borderId="49" xfId="0" applyNumberFormat="1" applyFont="1" applyFill="1" applyBorder="1" applyAlignment="1">
      <alignment horizontal="center" vertical="center"/>
    </xf>
    <xf numFmtId="49" fontId="56" fillId="53" borderId="4" xfId="0" applyNumberFormat="1" applyFont="1" applyFill="1" applyBorder="1" applyAlignment="1">
      <alignment horizontal="center" vertical="center"/>
    </xf>
    <xf numFmtId="49" fontId="56" fillId="53" borderId="131" xfId="0" applyNumberFormat="1" applyFont="1" applyFill="1" applyBorder="1" applyAlignment="1">
      <alignment vertical="center" wrapText="1"/>
    </xf>
    <xf numFmtId="0" fontId="21" fillId="53" borderId="127" xfId="0" applyFont="1" applyFill="1" applyBorder="1" applyAlignment="1">
      <alignment horizontal="center"/>
    </xf>
    <xf numFmtId="0" fontId="25" fillId="53" borderId="0" xfId="0" applyFont="1" applyFill="1" applyAlignment="1">
      <alignment horizontal="center"/>
    </xf>
    <xf numFmtId="49" fontId="56" fillId="72" borderId="74" xfId="0" applyNumberFormat="1" applyFont="1" applyFill="1" applyBorder="1" applyAlignment="1">
      <alignment horizontal="center" vertical="center"/>
    </xf>
    <xf numFmtId="49" fontId="56" fillId="72" borderId="132" xfId="0" applyNumberFormat="1" applyFont="1" applyFill="1" applyBorder="1" applyAlignment="1">
      <alignment horizontal="center" vertical="center"/>
    </xf>
    <xf numFmtId="49" fontId="56" fillId="72" borderId="94" xfId="0" applyNumberFormat="1" applyFont="1" applyFill="1" applyBorder="1" applyAlignment="1">
      <alignment horizontal="center" vertical="center"/>
    </xf>
    <xf numFmtId="49" fontId="56" fillId="72" borderId="95" xfId="0" applyNumberFormat="1" applyFont="1" applyFill="1" applyBorder="1" applyAlignment="1">
      <alignment horizontal="center" vertical="center"/>
    </xf>
    <xf numFmtId="49" fontId="56" fillId="72" borderId="113" xfId="0" applyNumberFormat="1" applyFont="1" applyFill="1" applyBorder="1" applyAlignment="1">
      <alignment horizontal="left" vertical="center" wrapText="1"/>
    </xf>
    <xf numFmtId="49" fontId="56" fillId="72" borderId="97" xfId="0" applyNumberFormat="1" applyFont="1" applyFill="1" applyBorder="1" applyAlignment="1">
      <alignment horizontal="center" vertical="center"/>
    </xf>
    <xf numFmtId="49" fontId="56" fillId="72" borderId="81" xfId="0" applyNumberFormat="1" applyFont="1" applyFill="1" applyBorder="1" applyAlignment="1">
      <alignment horizontal="left" vertical="center" wrapText="1"/>
    </xf>
    <xf numFmtId="49" fontId="103" fillId="72" borderId="97" xfId="0" applyNumberFormat="1" applyFont="1" applyFill="1" applyBorder="1" applyAlignment="1">
      <alignment horizontal="center" vertical="center"/>
    </xf>
    <xf numFmtId="49" fontId="56" fillId="72" borderId="99" xfId="0" applyNumberFormat="1" applyFont="1" applyFill="1" applyBorder="1" applyAlignment="1">
      <alignment horizontal="center" vertical="center"/>
    </xf>
    <xf numFmtId="49" fontId="56" fillId="72" borderId="100" xfId="0" applyNumberFormat="1" applyFont="1" applyFill="1" applyBorder="1" applyAlignment="1">
      <alignment horizontal="center" vertical="center"/>
    </xf>
    <xf numFmtId="49" fontId="56" fillId="72" borderId="114" xfId="0" applyNumberFormat="1" applyFont="1" applyFill="1" applyBorder="1" applyAlignment="1">
      <alignment horizontal="left" vertical="center" wrapText="1"/>
    </xf>
    <xf numFmtId="49" fontId="56" fillId="53" borderId="113" xfId="0" applyNumberFormat="1" applyFont="1" applyFill="1" applyBorder="1" applyAlignment="1">
      <alignment horizontal="left" vertical="center" wrapText="1"/>
    </xf>
    <xf numFmtId="49" fontId="56" fillId="53" borderId="81" xfId="0" applyNumberFormat="1" applyFont="1" applyFill="1" applyBorder="1" applyAlignment="1">
      <alignment horizontal="left" vertical="center" wrapText="1"/>
    </xf>
    <xf numFmtId="49" fontId="56" fillId="53" borderId="114" xfId="0" applyNumberFormat="1" applyFont="1" applyFill="1" applyBorder="1" applyAlignment="1">
      <alignment horizontal="left" vertical="center" wrapText="1"/>
    </xf>
    <xf numFmtId="49" fontId="56" fillId="53" borderId="133" xfId="0" applyNumberFormat="1" applyFont="1" applyFill="1" applyBorder="1" applyAlignment="1">
      <alignment horizontal="center" vertical="center"/>
    </xf>
    <xf numFmtId="49" fontId="56" fillId="53" borderId="88" xfId="0" applyNumberFormat="1" applyFont="1" applyFill="1" applyBorder="1" applyAlignment="1">
      <alignment horizontal="center" vertical="center"/>
    </xf>
    <xf numFmtId="49" fontId="103" fillId="72" borderId="81" xfId="0" applyNumberFormat="1" applyFont="1" applyFill="1" applyBorder="1" applyAlignment="1">
      <alignment horizontal="left" vertical="center" wrapText="1"/>
    </xf>
    <xf numFmtId="49" fontId="112" fillId="72" borderId="113" xfId="0" applyNumberFormat="1" applyFont="1" applyFill="1" applyBorder="1" applyAlignment="1">
      <alignment vertical="center" wrapText="1"/>
    </xf>
    <xf numFmtId="49" fontId="112" fillId="72" borderId="114" xfId="0" applyNumberFormat="1" applyFont="1" applyFill="1" applyBorder="1" applyAlignment="1">
      <alignment vertical="center" wrapText="1"/>
    </xf>
    <xf numFmtId="49" fontId="54" fillId="53" borderId="81" xfId="0" applyNumberFormat="1" applyFont="1" applyFill="1" applyBorder="1" applyAlignment="1">
      <alignment horizontal="left" vertical="center"/>
    </xf>
    <xf numFmtId="164" fontId="56" fillId="53" borderId="113" xfId="4" applyFont="1" applyFill="1" applyBorder="1" applyAlignment="1" applyProtection="1">
      <alignment horizontal="left" vertical="center" wrapText="1"/>
    </xf>
    <xf numFmtId="164" fontId="56" fillId="53" borderId="81" xfId="4" applyFont="1" applyFill="1" applyBorder="1" applyAlignment="1" applyProtection="1">
      <alignment horizontal="left" vertical="center" wrapText="1"/>
    </xf>
    <xf numFmtId="164" fontId="56" fillId="53" borderId="114" xfId="4" applyFont="1" applyFill="1" applyBorder="1" applyAlignment="1" applyProtection="1">
      <alignment horizontal="left" vertical="center" wrapText="1"/>
    </xf>
    <xf numFmtId="0" fontId="25" fillId="53" borderId="99" xfId="0" applyFont="1" applyFill="1" applyBorder="1" applyAlignment="1">
      <alignment horizontal="center" vertical="center"/>
    </xf>
    <xf numFmtId="0" fontId="25" fillId="53" borderId="100" xfId="0" applyFont="1" applyFill="1" applyBorder="1" applyAlignment="1">
      <alignment horizontal="center" vertical="center"/>
    </xf>
    <xf numFmtId="49" fontId="56" fillId="53" borderId="107" xfId="0" applyNumberFormat="1" applyFont="1" applyFill="1" applyBorder="1" applyAlignment="1">
      <alignment horizontal="center" vertical="center"/>
    </xf>
    <xf numFmtId="49" fontId="56" fillId="53" borderId="109" xfId="0" applyNumberFormat="1" applyFont="1" applyFill="1" applyBorder="1" applyAlignment="1">
      <alignment horizontal="center" vertical="center"/>
    </xf>
    <xf numFmtId="49" fontId="56" fillId="53" borderId="112" xfId="0" applyNumberFormat="1" applyFont="1" applyFill="1" applyBorder="1" applyAlignment="1">
      <alignment horizontal="center" vertical="center"/>
    </xf>
    <xf numFmtId="49" fontId="56" fillId="53" borderId="134" xfId="0" applyNumberFormat="1" applyFont="1" applyFill="1" applyBorder="1" applyAlignment="1">
      <alignment horizontal="left" vertical="center" wrapText="1"/>
    </xf>
    <xf numFmtId="49" fontId="56" fillId="53" borderId="135" xfId="0" applyNumberFormat="1" applyFont="1" applyFill="1" applyBorder="1" applyAlignment="1">
      <alignment horizontal="center" vertical="center"/>
    </xf>
    <xf numFmtId="49" fontId="56" fillId="53" borderId="106" xfId="0" applyNumberFormat="1" applyFont="1" applyFill="1" applyBorder="1" applyAlignment="1">
      <alignment horizontal="center" vertical="center"/>
    </xf>
    <xf numFmtId="49" fontId="56" fillId="72" borderId="123" xfId="0" applyNumberFormat="1" applyFont="1" applyFill="1" applyBorder="1" applyAlignment="1">
      <alignment horizontal="center" vertical="center"/>
    </xf>
    <xf numFmtId="49" fontId="103" fillId="72" borderId="133" xfId="0" applyNumberFormat="1" applyFont="1" applyFill="1" applyBorder="1" applyAlignment="1">
      <alignment horizontal="center" vertical="center"/>
    </xf>
    <xf numFmtId="49" fontId="56" fillId="53" borderId="6" xfId="0" applyNumberFormat="1" applyFont="1" applyFill="1" applyBorder="1" applyAlignment="1">
      <alignment horizontal="center" vertical="center"/>
    </xf>
    <xf numFmtId="0" fontId="56" fillId="72" borderId="81" xfId="0" applyFont="1" applyFill="1" applyBorder="1" applyAlignment="1">
      <alignment horizontal="left" vertical="center" wrapText="1"/>
    </xf>
    <xf numFmtId="0" fontId="56" fillId="72" borderId="114" xfId="0" applyFont="1" applyFill="1" applyBorder="1" applyAlignment="1">
      <alignment horizontal="left" vertical="center" wrapText="1"/>
    </xf>
    <xf numFmtId="0" fontId="56" fillId="53" borderId="29" xfId="0" applyFont="1" applyFill="1" applyBorder="1" applyAlignment="1">
      <alignment vertical="center" wrapText="1"/>
    </xf>
    <xf numFmtId="49" fontId="56" fillId="72" borderId="115" xfId="0" applyNumberFormat="1" applyFont="1" applyFill="1" applyBorder="1" applyAlignment="1">
      <alignment vertical="center" wrapText="1"/>
    </xf>
    <xf numFmtId="49" fontId="56" fillId="72" borderId="116" xfId="0" applyNumberFormat="1" applyFont="1" applyFill="1" applyBorder="1" applyAlignment="1">
      <alignment vertical="center" wrapText="1"/>
    </xf>
    <xf numFmtId="49" fontId="56" fillId="72" borderId="113" xfId="0" applyNumberFormat="1" applyFont="1" applyFill="1" applyBorder="1" applyAlignment="1">
      <alignment vertical="center" wrapText="1"/>
    </xf>
    <xf numFmtId="49" fontId="56" fillId="72" borderId="81" xfId="0" applyNumberFormat="1" applyFont="1" applyFill="1" applyBorder="1" applyAlignment="1">
      <alignment vertical="center" wrapText="1"/>
    </xf>
    <xf numFmtId="49" fontId="56" fillId="53" borderId="81" xfId="0" applyNumberFormat="1" applyFont="1" applyFill="1" applyBorder="1" applyAlignment="1">
      <alignment vertical="center" wrapText="1"/>
    </xf>
    <xf numFmtId="49" fontId="111" fillId="53" borderId="119" xfId="0" applyNumberFormat="1" applyFont="1" applyFill="1" applyBorder="1" applyAlignment="1">
      <alignment horizontal="left" vertical="center" wrapText="1"/>
    </xf>
    <xf numFmtId="49" fontId="111" fillId="53" borderId="120" xfId="0" applyNumberFormat="1" applyFont="1" applyFill="1" applyBorder="1" applyAlignment="1">
      <alignment horizontal="left" vertical="center" wrapText="1"/>
    </xf>
    <xf numFmtId="0" fontId="32" fillId="72" borderId="123" xfId="10" applyFont="1" applyFill="1" applyBorder="1" applyAlignment="1">
      <alignment horizontal="center" vertical="center"/>
    </xf>
    <xf numFmtId="0" fontId="32" fillId="72" borderId="87" xfId="10" applyFont="1" applyFill="1" applyBorder="1" applyAlignment="1">
      <alignment horizontal="center" vertical="center"/>
    </xf>
    <xf numFmtId="0" fontId="84" fillId="72" borderId="0" xfId="10" applyFont="1" applyFill="1" applyAlignment="1">
      <alignment vertical="center" wrapText="1"/>
    </xf>
    <xf numFmtId="0" fontId="56" fillId="72" borderId="16" xfId="0" applyFont="1" applyFill="1" applyBorder="1" applyAlignment="1">
      <alignment horizontal="left" vertical="center" wrapText="1"/>
    </xf>
    <xf numFmtId="0" fontId="56" fillId="53" borderId="94" xfId="0" applyFont="1" applyFill="1" applyBorder="1" applyAlignment="1">
      <alignment horizontal="center" vertical="center"/>
    </xf>
    <xf numFmtId="0" fontId="56" fillId="53" borderId="95" xfId="0" applyFont="1" applyFill="1" applyBorder="1" applyAlignment="1">
      <alignment horizontal="center" vertical="center"/>
    </xf>
    <xf numFmtId="0" fontId="56" fillId="53" borderId="113" xfId="0" applyFont="1" applyFill="1" applyBorder="1" applyAlignment="1">
      <alignment vertical="center" wrapText="1"/>
    </xf>
    <xf numFmtId="0" fontId="56" fillId="53" borderId="81" xfId="0" applyFont="1" applyFill="1" applyBorder="1" applyAlignment="1">
      <alignment vertical="center" wrapText="1"/>
    </xf>
    <xf numFmtId="0" fontId="56" fillId="53" borderId="123" xfId="0" applyFont="1" applyFill="1" applyBorder="1" applyAlignment="1">
      <alignment horizontal="center" vertical="center"/>
    </xf>
    <xf numFmtId="0" fontId="56" fillId="53" borderId="87" xfId="0" applyFont="1" applyFill="1" applyBorder="1" applyAlignment="1">
      <alignment horizontal="center" vertical="center"/>
    </xf>
    <xf numFmtId="0" fontId="56" fillId="72" borderId="94" xfId="0" applyFont="1" applyFill="1" applyBorder="1" applyAlignment="1">
      <alignment horizontal="center" vertical="center"/>
    </xf>
    <xf numFmtId="0" fontId="56" fillId="72" borderId="95" xfId="0" applyFont="1" applyFill="1" applyBorder="1" applyAlignment="1">
      <alignment horizontal="center" vertical="center"/>
    </xf>
    <xf numFmtId="0" fontId="56" fillId="72" borderId="113" xfId="0" applyFont="1" applyFill="1" applyBorder="1" applyAlignment="1">
      <alignment horizontal="left" vertical="center" wrapText="1"/>
    </xf>
    <xf numFmtId="0" fontId="56" fillId="72" borderId="97" xfId="0" applyFont="1" applyFill="1" applyBorder="1" applyAlignment="1">
      <alignment horizontal="center" vertical="center"/>
    </xf>
    <xf numFmtId="0" fontId="56" fillId="72" borderId="80" xfId="0" applyFont="1" applyFill="1" applyBorder="1" applyAlignment="1">
      <alignment horizontal="center" vertical="center"/>
    </xf>
    <xf numFmtId="0" fontId="56" fillId="72" borderId="99" xfId="0" applyFont="1" applyFill="1" applyBorder="1" applyAlignment="1">
      <alignment horizontal="center" vertical="center"/>
    </xf>
    <xf numFmtId="0" fontId="56" fillId="72" borderId="100" xfId="0" applyFont="1" applyFill="1" applyBorder="1" applyAlignment="1">
      <alignment horizontal="center" vertical="center"/>
    </xf>
    <xf numFmtId="0" fontId="56" fillId="53" borderId="16" xfId="0" applyFont="1" applyFill="1" applyBorder="1" applyAlignment="1">
      <alignment horizontal="center" vertical="center"/>
    </xf>
    <xf numFmtId="0" fontId="56" fillId="53" borderId="16" xfId="0" applyFont="1" applyFill="1" applyBorder="1" applyAlignment="1">
      <alignment horizontal="left" vertical="center" wrapText="1"/>
    </xf>
    <xf numFmtId="0" fontId="56" fillId="72" borderId="113" xfId="0" applyFont="1" applyFill="1" applyBorder="1" applyAlignment="1">
      <alignment vertical="center" wrapText="1"/>
    </xf>
    <xf numFmtId="0" fontId="56" fillId="72" borderId="114" xfId="0" applyFont="1" applyFill="1" applyBorder="1" applyAlignment="1">
      <alignment vertical="center" wrapText="1"/>
    </xf>
    <xf numFmtId="0" fontId="56" fillId="72" borderId="87" xfId="0" applyFont="1" applyFill="1" applyBorder="1" applyAlignment="1">
      <alignment horizontal="center" vertical="center"/>
    </xf>
    <xf numFmtId="0" fontId="56" fillId="72" borderId="81" xfId="0" applyFont="1" applyFill="1" applyBorder="1" applyAlignment="1">
      <alignment vertical="center" wrapText="1"/>
    </xf>
    <xf numFmtId="0" fontId="56" fillId="53" borderId="104" xfId="0" applyFont="1" applyFill="1" applyBorder="1" applyAlignment="1">
      <alignment horizontal="center" vertical="center"/>
    </xf>
    <xf numFmtId="0" fontId="56" fillId="53" borderId="105" xfId="0" applyFont="1" applyFill="1" applyBorder="1" applyAlignment="1">
      <alignment horizontal="center" vertical="center"/>
    </xf>
    <xf numFmtId="0" fontId="56" fillId="53" borderId="119" xfId="0" applyFont="1" applyFill="1" applyBorder="1" applyAlignment="1">
      <alignment vertical="center" wrapText="1"/>
    </xf>
    <xf numFmtId="0" fontId="56" fillId="53" borderId="108" xfId="0" applyFont="1" applyFill="1" applyBorder="1" applyAlignment="1">
      <alignment horizontal="center" vertical="center"/>
    </xf>
    <xf numFmtId="0" fontId="56" fillId="53" borderId="1" xfId="0" applyFont="1" applyFill="1" applyBorder="1" applyAlignment="1">
      <alignment horizontal="center" vertical="center"/>
    </xf>
    <xf numFmtId="0" fontId="56" fillId="53" borderId="122" xfId="0" applyFont="1" applyFill="1" applyBorder="1" applyAlignment="1">
      <alignment vertical="center" wrapText="1"/>
    </xf>
    <xf numFmtId="0" fontId="56" fillId="53" borderId="121" xfId="0" applyFont="1" applyFill="1" applyBorder="1" applyAlignment="1">
      <alignment horizontal="center" vertical="center"/>
    </xf>
    <xf numFmtId="0" fontId="56" fillId="53" borderId="9" xfId="0" applyFont="1" applyFill="1" applyBorder="1" applyAlignment="1">
      <alignment horizontal="center" vertical="center"/>
    </xf>
    <xf numFmtId="0" fontId="58" fillId="72" borderId="100" xfId="0" applyFont="1" applyFill="1" applyBorder="1" applyAlignment="1">
      <alignment horizontal="center" vertical="center" wrapText="1"/>
    </xf>
    <xf numFmtId="0" fontId="25" fillId="53" borderId="16" xfId="0" applyFont="1" applyFill="1" applyBorder="1" applyAlignment="1">
      <alignment horizontal="left" vertical="center"/>
    </xf>
    <xf numFmtId="0" fontId="25" fillId="53" borderId="16" xfId="0" applyFont="1" applyFill="1" applyBorder="1" applyAlignment="1">
      <alignment horizontal="center" vertical="center"/>
    </xf>
    <xf numFmtId="0" fontId="25" fillId="53" borderId="95" xfId="0" applyFont="1" applyFill="1" applyBorder="1" applyAlignment="1">
      <alignment horizontal="center" vertical="center"/>
    </xf>
    <xf numFmtId="0" fontId="25" fillId="72" borderId="94" xfId="0" applyFont="1" applyFill="1" applyBorder="1" applyAlignment="1">
      <alignment horizontal="center" vertical="center"/>
    </xf>
    <xf numFmtId="0" fontId="25" fillId="72" borderId="95" xfId="0" applyFont="1" applyFill="1" applyBorder="1" applyAlignment="1">
      <alignment horizontal="center" vertical="center"/>
    </xf>
    <xf numFmtId="0" fontId="25" fillId="72" borderId="113" xfId="0" applyFont="1" applyFill="1" applyBorder="1" applyAlignment="1">
      <alignment vertical="center"/>
    </xf>
    <xf numFmtId="0" fontId="25" fillId="72" borderId="81" xfId="0" applyFont="1" applyFill="1" applyBorder="1" applyAlignment="1">
      <alignment vertical="center"/>
    </xf>
    <xf numFmtId="0" fontId="25" fillId="72" borderId="123" xfId="0" applyFont="1" applyFill="1" applyBorder="1" applyAlignment="1">
      <alignment horizontal="center" vertical="center"/>
    </xf>
    <xf numFmtId="0" fontId="25" fillId="72" borderId="87" xfId="0" applyFont="1" applyFill="1" applyBorder="1" applyAlignment="1">
      <alignment horizontal="center" vertical="center"/>
    </xf>
    <xf numFmtId="0" fontId="25" fillId="53" borderId="94" xfId="0" applyFont="1" applyFill="1" applyBorder="1" applyAlignment="1">
      <alignment horizontal="center" vertical="center" wrapText="1"/>
    </xf>
    <xf numFmtId="0" fontId="25" fillId="53" borderId="113" xfId="0" applyFont="1" applyFill="1" applyBorder="1" applyAlignment="1">
      <alignment horizontal="left" vertical="center" wrapText="1"/>
    </xf>
    <xf numFmtId="0" fontId="25" fillId="53" borderId="99" xfId="0" applyFont="1" applyFill="1" applyBorder="1" applyAlignment="1">
      <alignment horizontal="center" vertical="center" wrapText="1"/>
    </xf>
    <xf numFmtId="0" fontId="25" fillId="53" borderId="114" xfId="0" applyFont="1" applyFill="1" applyBorder="1" applyAlignment="1">
      <alignment horizontal="left" vertical="center" wrapText="1"/>
    </xf>
    <xf numFmtId="0" fontId="47" fillId="0" borderId="0" xfId="2" applyFill="1"/>
    <xf numFmtId="9" fontId="45" fillId="0" borderId="1" xfId="2" applyNumberFormat="1" applyFont="1" applyFill="1" applyBorder="1" applyAlignment="1" applyProtection="1">
      <alignment horizontal="center" vertical="center"/>
    </xf>
    <xf numFmtId="0" fontId="64" fillId="0" borderId="1" xfId="2" applyFont="1" applyFill="1" applyBorder="1" applyAlignment="1">
      <alignment vertical="center" wrapText="1"/>
    </xf>
    <xf numFmtId="0" fontId="45" fillId="0" borderId="1" xfId="2" applyFont="1" applyFill="1" applyBorder="1" applyAlignment="1">
      <alignment horizontal="center" vertical="center"/>
    </xf>
    <xf numFmtId="165" fontId="47" fillId="0" borderId="20" xfId="2" applyNumberFormat="1" applyFill="1" applyBorder="1" applyAlignment="1" applyProtection="1">
      <alignment horizontal="center" vertical="center"/>
    </xf>
    <xf numFmtId="0" fontId="47" fillId="0" borderId="1" xfId="2" applyFill="1" applyBorder="1" applyAlignment="1" applyProtection="1">
      <alignment horizontal="center" vertical="center"/>
      <protection locked="0"/>
    </xf>
    <xf numFmtId="0" fontId="47" fillId="0" borderId="0" xfId="2" applyFill="1" applyAlignment="1">
      <alignment vertical="center"/>
    </xf>
    <xf numFmtId="0" fontId="46" fillId="0" borderId="0" xfId="1" applyFill="1"/>
    <xf numFmtId="0" fontId="46" fillId="0" borderId="1" xfId="1" applyFill="1" applyBorder="1" applyAlignment="1">
      <alignment horizontal="center" vertical="center"/>
    </xf>
    <xf numFmtId="0" fontId="45" fillId="0" borderId="1" xfId="1" applyFont="1" applyFill="1" applyBorder="1" applyAlignment="1" applyProtection="1">
      <alignment vertical="center" wrapText="1"/>
      <protection locked="0"/>
    </xf>
    <xf numFmtId="0" fontId="45" fillId="0" borderId="1" xfId="1" applyFont="1" applyFill="1" applyBorder="1" applyAlignment="1">
      <alignment horizontal="center" vertical="center"/>
    </xf>
    <xf numFmtId="165" fontId="45" fillId="0" borderId="20" xfId="1" applyNumberFormat="1" applyFont="1" applyFill="1" applyBorder="1" applyAlignment="1" applyProtection="1">
      <alignment horizontal="center" vertical="center"/>
    </xf>
    <xf numFmtId="0" fontId="46" fillId="0" borderId="1" xfId="1" applyFill="1" applyBorder="1" applyAlignment="1">
      <alignment horizontal="center" vertical="center" wrapText="1"/>
    </xf>
    <xf numFmtId="0" fontId="46" fillId="0" borderId="0" xfId="1" applyFill="1" applyAlignment="1">
      <alignment vertical="center"/>
    </xf>
    <xf numFmtId="49" fontId="56" fillId="72" borderId="0" xfId="0" applyNumberFormat="1" applyFont="1" applyFill="1" applyAlignment="1">
      <alignment horizontal="left" vertical="center" wrapText="1"/>
    </xf>
    <xf numFmtId="0" fontId="25" fillId="26" borderId="11" xfId="0" applyFont="1" applyFill="1" applyBorder="1" applyAlignment="1">
      <alignment horizontal="center" vertical="center"/>
    </xf>
    <xf numFmtId="0" fontId="95" fillId="0" borderId="87" xfId="0" applyFont="1" applyBorder="1"/>
    <xf numFmtId="0" fontId="26" fillId="0" borderId="9" xfId="0" applyFont="1" applyBorder="1" applyAlignment="1" applyProtection="1">
      <alignment horizontal="center" vertical="center"/>
      <protection locked="0"/>
    </xf>
    <xf numFmtId="49" fontId="56" fillId="72" borderId="133" xfId="0" applyNumberFormat="1" applyFont="1" applyFill="1" applyBorder="1" applyAlignment="1">
      <alignment horizontal="center" vertical="center"/>
    </xf>
    <xf numFmtId="0" fontId="95" fillId="0" borderId="88" xfId="0" applyFont="1" applyBorder="1"/>
    <xf numFmtId="0" fontId="25" fillId="26" borderId="80" xfId="0" applyFont="1" applyFill="1" applyBorder="1" applyAlignment="1">
      <alignment horizontal="center" vertical="center"/>
    </xf>
    <xf numFmtId="0" fontId="25" fillId="30" borderId="80" xfId="0" applyFont="1" applyFill="1" applyBorder="1" applyAlignment="1">
      <alignment horizontal="center" vertical="center"/>
    </xf>
    <xf numFmtId="0" fontId="25" fillId="4" borderId="80" xfId="0" applyFont="1" applyFill="1" applyBorder="1" applyAlignment="1">
      <alignment horizontal="center" vertical="center"/>
    </xf>
    <xf numFmtId="0" fontId="116" fillId="0" borderId="80" xfId="0" applyFont="1" applyBorder="1"/>
    <xf numFmtId="165" fontId="25" fillId="0" borderId="80" xfId="0" applyNumberFormat="1" applyFont="1" applyBorder="1" applyAlignment="1">
      <alignment horizontal="center" vertical="center"/>
    </xf>
    <xf numFmtId="0" fontId="26" fillId="0" borderId="80" xfId="0" applyFont="1" applyBorder="1" applyAlignment="1">
      <alignment horizontal="center" vertical="center"/>
    </xf>
    <xf numFmtId="0" fontId="25" fillId="28" borderId="27" xfId="0" applyFont="1" applyFill="1" applyBorder="1" applyAlignment="1" applyProtection="1">
      <alignment horizontal="center" vertical="center"/>
      <protection locked="0"/>
    </xf>
    <xf numFmtId="0" fontId="35" fillId="2" borderId="39" xfId="0" applyFont="1" applyFill="1" applyBorder="1" applyAlignment="1">
      <alignment horizontal="center" vertical="center"/>
    </xf>
    <xf numFmtId="0" fontId="25" fillId="0" borderId="80" xfId="0" applyFont="1" applyBorder="1" applyAlignment="1">
      <alignment vertical="center" wrapText="1"/>
    </xf>
    <xf numFmtId="0" fontId="57" fillId="0" borderId="80" xfId="0" applyFont="1" applyBorder="1" applyAlignment="1">
      <alignment vertical="center" wrapText="1"/>
    </xf>
    <xf numFmtId="0" fontId="57" fillId="0" borderId="80" xfId="0" applyFont="1" applyBorder="1" applyAlignment="1">
      <alignment vertical="center"/>
    </xf>
    <xf numFmtId="0" fontId="21" fillId="0" borderId="80" xfId="0" applyFont="1" applyBorder="1"/>
    <xf numFmtId="15" fontId="25" fillId="0" borderId="67" xfId="0" applyNumberFormat="1" applyFont="1" applyBorder="1" applyAlignment="1">
      <alignment horizontal="center" vertical="center"/>
    </xf>
    <xf numFmtId="15" fontId="25" fillId="0" borderId="139" xfId="0" applyNumberFormat="1" applyFont="1" applyBorder="1" applyAlignment="1">
      <alignment horizontal="center" vertical="center"/>
    </xf>
    <xf numFmtId="49" fontId="54" fillId="53" borderId="113" xfId="0" applyNumberFormat="1" applyFont="1" applyFill="1" applyBorder="1" applyAlignment="1">
      <alignment horizontal="left" vertical="center" wrapText="1"/>
    </xf>
    <xf numFmtId="0" fontId="25" fillId="30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9" fontId="25" fillId="5" borderId="62" xfId="0" applyNumberFormat="1" applyFont="1" applyFill="1" applyBorder="1" applyAlignment="1">
      <alignment horizontal="center" vertical="center"/>
    </xf>
    <xf numFmtId="9" fontId="25" fillId="5" borderId="37" xfId="0" applyNumberFormat="1" applyFont="1" applyFill="1" applyBorder="1" applyAlignment="1">
      <alignment horizontal="center" vertical="center"/>
    </xf>
    <xf numFmtId="9" fontId="25" fillId="5" borderId="33" xfId="0" applyNumberFormat="1" applyFont="1" applyFill="1" applyBorder="1" applyAlignment="1">
      <alignment horizontal="center" vertical="center"/>
    </xf>
    <xf numFmtId="0" fontId="57" fillId="31" borderId="80" xfId="0" applyFont="1" applyFill="1" applyBorder="1" applyAlignment="1" applyProtection="1">
      <alignment horizontal="center" vertical="center"/>
      <protection locked="0"/>
    </xf>
    <xf numFmtId="49" fontId="56" fillId="53" borderId="0" xfId="0" applyNumberFormat="1" applyFont="1" applyFill="1" applyAlignment="1">
      <alignment horizontal="left" vertical="center" wrapText="1"/>
    </xf>
    <xf numFmtId="0" fontId="25" fillId="28" borderId="0" xfId="0" applyFont="1" applyFill="1" applyAlignment="1" applyProtection="1">
      <alignment horizontal="center" vertical="center"/>
      <protection locked="0"/>
    </xf>
    <xf numFmtId="9" fontId="25" fillId="5" borderId="9" xfId="0" applyNumberFormat="1" applyFont="1" applyFill="1" applyBorder="1" applyAlignment="1">
      <alignment vertical="center"/>
    </xf>
    <xf numFmtId="9" fontId="60" fillId="26" borderId="33" xfId="8" applyNumberFormat="1" applyFont="1" applyFill="1" applyBorder="1" applyAlignment="1" applyProtection="1">
      <alignment horizontal="center" vertical="center"/>
    </xf>
    <xf numFmtId="0" fontId="25" fillId="0" borderId="33" xfId="0" applyFont="1" applyBorder="1" applyAlignment="1">
      <alignment horizontal="center" vertical="center"/>
    </xf>
    <xf numFmtId="9" fontId="25" fillId="0" borderId="9" xfId="0" applyNumberFormat="1" applyFont="1" applyBorder="1" applyAlignment="1">
      <alignment vertical="center"/>
    </xf>
    <xf numFmtId="49" fontId="45" fillId="72" borderId="94" xfId="2" applyNumberFormat="1" applyFont="1" applyFill="1" applyBorder="1" applyAlignment="1" applyProtection="1">
      <alignment horizontal="center" vertical="center"/>
    </xf>
    <xf numFmtId="49" fontId="103" fillId="72" borderId="95" xfId="2" applyNumberFormat="1" applyFont="1" applyFill="1" applyBorder="1" applyAlignment="1" applyProtection="1">
      <alignment horizontal="center" vertical="center"/>
    </xf>
    <xf numFmtId="0" fontId="45" fillId="72" borderId="97" xfId="1" applyFont="1" applyFill="1" applyBorder="1" applyAlignment="1">
      <alignment horizontal="center"/>
    </xf>
    <xf numFmtId="49" fontId="103" fillId="72" borderId="80" xfId="1" applyNumberFormat="1" applyFont="1" applyFill="1" applyBorder="1" applyAlignment="1" applyProtection="1">
      <alignment horizontal="center" vertical="center"/>
    </xf>
    <xf numFmtId="9" fontId="0" fillId="0" borderId="0" xfId="0" applyNumberFormat="1" applyAlignment="1">
      <alignment vertical="center"/>
    </xf>
    <xf numFmtId="9" fontId="35" fillId="2" borderId="39" xfId="0" applyNumberFormat="1" applyFont="1" applyFill="1" applyBorder="1" applyAlignment="1">
      <alignment vertical="center"/>
    </xf>
    <xf numFmtId="9" fontId="25" fillId="0" borderId="1" xfId="0" applyNumberFormat="1" applyFont="1" applyBorder="1" applyAlignment="1">
      <alignment vertical="center"/>
    </xf>
    <xf numFmtId="9" fontId="25" fillId="0" borderId="80" xfId="0" applyNumberFormat="1" applyFont="1" applyBorder="1" applyAlignment="1">
      <alignment vertical="center"/>
    </xf>
    <xf numFmtId="9" fontId="25" fillId="0" borderId="0" xfId="0" applyNumberFormat="1" applyFont="1" applyAlignment="1">
      <alignment vertical="center"/>
    </xf>
    <xf numFmtId="0" fontId="0" fillId="37" borderId="1" xfId="0" applyFill="1" applyBorder="1" applyAlignment="1">
      <alignment horizontal="center" vertical="center"/>
    </xf>
    <xf numFmtId="0" fontId="0" fillId="63" borderId="1" xfId="0" applyFill="1" applyBorder="1" applyAlignment="1">
      <alignment horizontal="center" vertical="center"/>
    </xf>
    <xf numFmtId="165" fontId="10" fillId="33" borderId="33" xfId="0" applyNumberFormat="1" applyFont="1" applyFill="1" applyBorder="1" applyAlignment="1">
      <alignment horizontal="center" vertical="center"/>
    </xf>
    <xf numFmtId="14" fontId="10" fillId="34" borderId="0" xfId="0" applyNumberFormat="1" applyFont="1" applyFill="1" applyAlignment="1">
      <alignment horizontal="center"/>
    </xf>
    <xf numFmtId="0" fontId="0" fillId="30" borderId="80" xfId="0" applyFill="1" applyBorder="1" applyAlignment="1">
      <alignment horizontal="center" vertical="center"/>
    </xf>
    <xf numFmtId="0" fontId="0" fillId="30" borderId="80" xfId="0" applyFill="1" applyBorder="1" applyAlignment="1">
      <alignment horizontal="center"/>
    </xf>
    <xf numFmtId="0" fontId="0" fillId="30" borderId="0" xfId="0" applyFill="1"/>
    <xf numFmtId="0" fontId="99" fillId="0" borderId="80" xfId="0" applyFont="1" applyBorder="1"/>
    <xf numFmtId="15" fontId="25" fillId="0" borderId="33" xfId="0" applyNumberFormat="1" applyFont="1" applyBorder="1" applyAlignment="1">
      <alignment horizontal="center" vertical="center"/>
    </xf>
    <xf numFmtId="0" fontId="56" fillId="26" borderId="9" xfId="8" applyFont="1" applyFill="1" applyBorder="1" applyAlignment="1">
      <alignment vertical="center" wrapText="1"/>
    </xf>
    <xf numFmtId="0" fontId="25" fillId="0" borderId="20" xfId="0" applyFont="1" applyBorder="1" applyAlignment="1" applyProtection="1">
      <alignment horizontal="left" vertical="center"/>
      <protection locked="0"/>
    </xf>
    <xf numFmtId="0" fontId="67" fillId="32" borderId="43" xfId="0" applyFont="1" applyFill="1" applyBorder="1" applyAlignment="1">
      <alignment horizontal="center" vertical="center"/>
    </xf>
    <xf numFmtId="0" fontId="21" fillId="32" borderId="53" xfId="0" applyFont="1" applyFill="1" applyBorder="1" applyAlignment="1">
      <alignment horizontal="center" vertical="center" wrapText="1"/>
    </xf>
    <xf numFmtId="0" fontId="68" fillId="32" borderId="51" xfId="0" applyFont="1" applyFill="1" applyBorder="1" applyAlignment="1">
      <alignment horizontal="center" vertical="center"/>
    </xf>
    <xf numFmtId="49" fontId="54" fillId="53" borderId="81" xfId="0" applyNumberFormat="1" applyFont="1" applyFill="1" applyBorder="1" applyAlignment="1">
      <alignment horizontal="left" vertical="center" wrapText="1"/>
    </xf>
    <xf numFmtId="0" fontId="34" fillId="0" borderId="0" xfId="0" applyFont="1" applyAlignment="1">
      <alignment horizontal="center" indent="1"/>
    </xf>
    <xf numFmtId="0" fontId="20" fillId="71" borderId="142" xfId="0" applyFont="1" applyFill="1" applyBorder="1"/>
    <xf numFmtId="0" fontId="20" fillId="71" borderId="143" xfId="0" applyFont="1" applyFill="1" applyBorder="1"/>
    <xf numFmtId="0" fontId="20" fillId="71" borderId="144" xfId="0" applyFont="1" applyFill="1" applyBorder="1"/>
    <xf numFmtId="0" fontId="34" fillId="33" borderId="145" xfId="0" applyFont="1" applyFill="1" applyBorder="1" applyAlignment="1">
      <alignment horizontal="center" indent="1"/>
    </xf>
    <xf numFmtId="0" fontId="34" fillId="33" borderId="146" xfId="0" applyFont="1" applyFill="1" applyBorder="1" applyAlignment="1">
      <alignment horizontal="center" indent="1"/>
    </xf>
    <xf numFmtId="0" fontId="34" fillId="33" borderId="147" xfId="0" applyFont="1" applyFill="1" applyBorder="1" applyAlignment="1">
      <alignment horizontal="center" indent="1"/>
    </xf>
    <xf numFmtId="0" fontId="120" fillId="71" borderId="142" xfId="0" applyFont="1" applyFill="1" applyBorder="1"/>
    <xf numFmtId="0" fontId="120" fillId="71" borderId="144" xfId="0" applyFont="1" applyFill="1" applyBorder="1"/>
    <xf numFmtId="0" fontId="20" fillId="71" borderId="144" xfId="0" applyFont="1" applyFill="1" applyBorder="1" applyAlignment="1">
      <alignment wrapText="1"/>
    </xf>
    <xf numFmtId="0" fontId="34" fillId="33" borderId="148" xfId="0" applyFont="1" applyFill="1" applyBorder="1" applyAlignment="1">
      <alignment horizontal="center" indent="1"/>
    </xf>
    <xf numFmtId="0" fontId="25" fillId="70" borderId="102" xfId="0" applyFont="1" applyFill="1" applyBorder="1" applyAlignment="1">
      <alignment horizontal="center" indent="1"/>
    </xf>
    <xf numFmtId="0" fontId="0" fillId="33" borderId="94" xfId="0" applyFill="1" applyBorder="1" applyAlignment="1">
      <alignment horizontal="center" vertical="center" indent="1"/>
    </xf>
    <xf numFmtId="0" fontId="0" fillId="0" borderId="95" xfId="0" applyBorder="1" applyAlignment="1">
      <alignment horizontal="center" vertical="center"/>
    </xf>
    <xf numFmtId="0" fontId="0" fillId="30" borderId="95" xfId="0" applyFill="1" applyBorder="1" applyAlignment="1">
      <alignment horizontal="center" vertical="center"/>
    </xf>
    <xf numFmtId="0" fontId="0" fillId="37" borderId="96" xfId="0" applyFill="1" applyBorder="1" applyAlignment="1">
      <alignment horizontal="center" vertical="center"/>
    </xf>
    <xf numFmtId="0" fontId="0" fillId="0" borderId="99" xfId="0" applyBorder="1" applyAlignment="1">
      <alignment horizontal="center" vertical="center" indent="1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25" fillId="70" borderId="140" xfId="0" applyFont="1" applyFill="1" applyBorder="1" applyAlignment="1">
      <alignment horizontal="center" wrapText="1"/>
    </xf>
    <xf numFmtId="0" fontId="117" fillId="70" borderId="127" xfId="0" applyFont="1" applyFill="1" applyBorder="1"/>
    <xf numFmtId="0" fontId="121" fillId="0" borderId="0" xfId="0" applyFont="1"/>
    <xf numFmtId="0" fontId="95" fillId="0" borderId="0" xfId="0" applyFont="1"/>
    <xf numFmtId="0" fontId="10" fillId="41" borderId="0" xfId="0" applyFont="1" applyFill="1" applyAlignment="1">
      <alignment horizontal="center" vertical="center"/>
    </xf>
    <xf numFmtId="0" fontId="25" fillId="41" borderId="0" xfId="0" applyFont="1" applyFill="1" applyAlignment="1">
      <alignment horizontal="center"/>
    </xf>
    <xf numFmtId="0" fontId="25" fillId="41" borderId="0" xfId="0" applyFont="1" applyFill="1" applyAlignment="1">
      <alignment horizontal="center" vertical="center" wrapText="1"/>
    </xf>
    <xf numFmtId="0" fontId="0" fillId="41" borderId="0" xfId="0" applyFill="1" applyAlignment="1">
      <alignment horizontal="center" vertical="center" indent="1"/>
    </xf>
    <xf numFmtId="0" fontId="3" fillId="0" borderId="0" xfId="0" applyFont="1" applyAlignment="1">
      <alignment horizontal="center" vertical="center" wrapText="1"/>
    </xf>
    <xf numFmtId="0" fontId="0" fillId="33" borderId="80" xfId="0" applyFill="1" applyBorder="1" applyAlignment="1">
      <alignment horizontal="center" vertical="center" indent="1"/>
    </xf>
    <xf numFmtId="0" fontId="0" fillId="37" borderId="80" xfId="0" applyFill="1" applyBorder="1" applyAlignment="1">
      <alignment horizontal="center" vertical="center"/>
    </xf>
    <xf numFmtId="0" fontId="0" fillId="0" borderId="80" xfId="0" applyBorder="1" applyAlignment="1">
      <alignment horizontal="center" vertical="center" indent="1"/>
    </xf>
    <xf numFmtId="0" fontId="101" fillId="0" borderId="1" xfId="2" applyFont="1" applyFill="1" applyBorder="1" applyAlignment="1">
      <alignment vertical="center" wrapText="1"/>
    </xf>
    <xf numFmtId="49" fontId="56" fillId="30" borderId="97" xfId="0" applyNumberFormat="1" applyFont="1" applyFill="1" applyBorder="1" applyAlignment="1">
      <alignment horizontal="center" vertical="center"/>
    </xf>
    <xf numFmtId="49" fontId="56" fillId="30" borderId="99" xfId="0" applyNumberFormat="1" applyFont="1" applyFill="1" applyBorder="1" applyAlignment="1">
      <alignment horizontal="center" vertical="center"/>
    </xf>
    <xf numFmtId="49" fontId="103" fillId="30" borderId="97" xfId="0" applyNumberFormat="1" applyFont="1" applyFill="1" applyBorder="1" applyAlignment="1">
      <alignment horizontal="center" vertical="center"/>
    </xf>
    <xf numFmtId="49" fontId="56" fillId="30" borderId="123" xfId="0" applyNumberFormat="1" applyFont="1" applyFill="1" applyBorder="1" applyAlignment="1">
      <alignment horizontal="center" vertical="center"/>
    </xf>
    <xf numFmtId="49" fontId="56" fillId="33" borderId="80" xfId="0" applyNumberFormat="1" applyFont="1" applyFill="1" applyBorder="1" applyAlignment="1">
      <alignment horizontal="center" vertical="center"/>
    </xf>
    <xf numFmtId="0" fontId="123" fillId="0" borderId="0" xfId="0" applyFont="1"/>
    <xf numFmtId="0" fontId="124" fillId="0" borderId="0" xfId="0" applyFont="1"/>
    <xf numFmtId="0" fontId="118" fillId="73" borderId="113" xfId="0" applyFont="1" applyFill="1" applyBorder="1" applyAlignment="1">
      <alignment horizontal="center" wrapText="1"/>
    </xf>
    <xf numFmtId="0" fontId="25" fillId="73" borderId="116" xfId="0" applyFont="1" applyFill="1" applyBorder="1" applyAlignment="1">
      <alignment horizontal="center"/>
    </xf>
    <xf numFmtId="0" fontId="118" fillId="73" borderId="81" xfId="0" applyFont="1" applyFill="1" applyBorder="1" applyAlignment="1">
      <alignment horizontal="center" wrapText="1"/>
    </xf>
    <xf numFmtId="0" fontId="118" fillId="73" borderId="114" xfId="0" applyFont="1" applyFill="1" applyBorder="1" applyAlignment="1">
      <alignment horizontal="center" wrapText="1"/>
    </xf>
    <xf numFmtId="0" fontId="25" fillId="73" borderId="116" xfId="0" applyFont="1" applyFill="1" applyBorder="1" applyAlignment="1">
      <alignment horizontal="center" wrapText="1"/>
    </xf>
    <xf numFmtId="0" fontId="25" fillId="73" borderId="102" xfId="0" applyFont="1" applyFill="1" applyBorder="1" applyAlignment="1">
      <alignment horizontal="center"/>
    </xf>
    <xf numFmtId="0" fontId="25" fillId="73" borderId="113" xfId="0" applyFont="1" applyFill="1" applyBorder="1" applyAlignment="1">
      <alignment horizontal="center"/>
    </xf>
    <xf numFmtId="0" fontId="25" fillId="73" borderId="81" xfId="0" applyFont="1" applyFill="1" applyBorder="1" applyAlignment="1">
      <alignment horizontal="center"/>
    </xf>
    <xf numFmtId="0" fontId="25" fillId="73" borderId="114" xfId="0" applyFont="1" applyFill="1" applyBorder="1" applyAlignment="1">
      <alignment horizontal="center"/>
    </xf>
    <xf numFmtId="0" fontId="25" fillId="73" borderId="0" xfId="0" applyFont="1" applyFill="1" applyAlignment="1">
      <alignment horizontal="center"/>
    </xf>
    <xf numFmtId="0" fontId="118" fillId="73" borderId="0" xfId="0" applyFont="1" applyFill="1" applyAlignment="1">
      <alignment horizontal="center" wrapText="1"/>
    </xf>
    <xf numFmtId="0" fontId="25" fillId="73" borderId="117" xfId="0" applyFont="1" applyFill="1" applyBorder="1" applyAlignment="1">
      <alignment horizontal="center"/>
    </xf>
    <xf numFmtId="0" fontId="119" fillId="73" borderId="115" xfId="0" applyFont="1" applyFill="1" applyBorder="1" applyAlignment="1">
      <alignment horizontal="center"/>
    </xf>
    <xf numFmtId="0" fontId="119" fillId="73" borderId="116" xfId="0" applyFont="1" applyFill="1" applyBorder="1" applyAlignment="1">
      <alignment horizontal="center"/>
    </xf>
    <xf numFmtId="0" fontId="25" fillId="73" borderId="118" xfId="0" applyFont="1" applyFill="1" applyBorder="1" applyAlignment="1">
      <alignment horizontal="center" wrapText="1"/>
    </xf>
    <xf numFmtId="0" fontId="118" fillId="73" borderId="102" xfId="0" applyFont="1" applyFill="1" applyBorder="1" applyAlignment="1">
      <alignment horizontal="center" wrapText="1"/>
    </xf>
    <xf numFmtId="0" fontId="25" fillId="73" borderId="0" xfId="0" applyFont="1" applyFill="1" applyAlignment="1">
      <alignment horizontal="center" wrapText="1"/>
    </xf>
    <xf numFmtId="0" fontId="118" fillId="73" borderId="115" xfId="0" applyFont="1" applyFill="1" applyBorder="1" applyAlignment="1">
      <alignment horizontal="center" wrapText="1"/>
    </xf>
    <xf numFmtId="0" fontId="25" fillId="73" borderId="118" xfId="0" applyFont="1" applyFill="1" applyBorder="1" applyAlignment="1">
      <alignment horizontal="center"/>
    </xf>
    <xf numFmtId="0" fontId="25" fillId="73" borderId="149" xfId="0" applyFont="1" applyFill="1" applyBorder="1" applyAlignment="1">
      <alignment horizontal="center"/>
    </xf>
    <xf numFmtId="0" fontId="25" fillId="73" borderId="127" xfId="0" applyFont="1" applyFill="1" applyBorder="1" applyAlignment="1">
      <alignment horizontal="center"/>
    </xf>
    <xf numFmtId="0" fontId="25" fillId="70" borderId="116" xfId="0" applyFont="1" applyFill="1" applyBorder="1" applyAlignment="1">
      <alignment horizontal="center" indent="1"/>
    </xf>
    <xf numFmtId="0" fontId="125" fillId="73" borderId="80" xfId="0" applyFont="1" applyFill="1" applyBorder="1" applyAlignment="1">
      <alignment horizontal="center" vertical="center"/>
    </xf>
    <xf numFmtId="0" fontId="20" fillId="73" borderId="80" xfId="0" applyFont="1" applyFill="1" applyBorder="1" applyAlignment="1">
      <alignment horizontal="center"/>
    </xf>
    <xf numFmtId="0" fontId="120" fillId="73" borderId="80" xfId="0" applyFont="1" applyFill="1" applyBorder="1" applyAlignment="1">
      <alignment horizontal="center"/>
    </xf>
    <xf numFmtId="0" fontId="20" fillId="73" borderId="80" xfId="0" applyFont="1" applyFill="1" applyBorder="1" applyAlignment="1">
      <alignment horizontal="center" wrapText="1"/>
    </xf>
    <xf numFmtId="0" fontId="126" fillId="73" borderId="115" xfId="0" applyFont="1" applyFill="1" applyBorder="1" applyAlignment="1">
      <alignment horizontal="center" wrapText="1"/>
    </xf>
    <xf numFmtId="0" fontId="126" fillId="73" borderId="116" xfId="0" applyFont="1" applyFill="1" applyBorder="1" applyAlignment="1">
      <alignment horizontal="center" wrapText="1"/>
    </xf>
    <xf numFmtId="0" fontId="126" fillId="73" borderId="116" xfId="0" applyFont="1" applyFill="1" applyBorder="1" applyAlignment="1">
      <alignment horizontal="center" vertical="center" wrapText="1"/>
    </xf>
    <xf numFmtId="0" fontId="126" fillId="73" borderId="102" xfId="0" applyFont="1" applyFill="1" applyBorder="1" applyAlignment="1">
      <alignment horizontal="center" wrapText="1"/>
    </xf>
    <xf numFmtId="0" fontId="127" fillId="73" borderId="81" xfId="0" applyFont="1" applyFill="1" applyBorder="1" applyAlignment="1">
      <alignment horizontal="center"/>
    </xf>
    <xf numFmtId="0" fontId="126" fillId="73" borderId="114" xfId="0" applyFont="1" applyFill="1" applyBorder="1" applyAlignment="1">
      <alignment horizontal="center" wrapText="1"/>
    </xf>
    <xf numFmtId="0" fontId="126" fillId="73" borderId="113" xfId="0" applyFont="1" applyFill="1" applyBorder="1" applyAlignment="1">
      <alignment horizontal="center" wrapText="1"/>
    </xf>
    <xf numFmtId="0" fontId="128" fillId="30" borderId="80" xfId="0" applyFont="1" applyFill="1" applyBorder="1" applyAlignment="1">
      <alignment horizontal="center"/>
    </xf>
    <xf numFmtId="0" fontId="128" fillId="37" borderId="80" xfId="0" applyFont="1" applyFill="1" applyBorder="1" applyAlignment="1">
      <alignment horizontal="center"/>
    </xf>
    <xf numFmtId="49" fontId="128" fillId="37" borderId="80" xfId="0" applyNumberFormat="1" applyFont="1" applyFill="1" applyBorder="1" applyAlignment="1">
      <alignment horizontal="center"/>
    </xf>
    <xf numFmtId="9" fontId="25" fillId="0" borderId="9" xfId="0" applyNumberFormat="1" applyFont="1" applyBorder="1" applyAlignment="1">
      <alignment vertical="center"/>
    </xf>
    <xf numFmtId="9" fontId="25" fillId="0" borderId="16" xfId="0" applyNumberFormat="1" applyFont="1" applyBorder="1" applyAlignment="1">
      <alignment vertical="center"/>
    </xf>
    <xf numFmtId="9" fontId="25" fillId="0" borderId="20" xfId="0" applyNumberFormat="1" applyFont="1" applyBorder="1" applyAlignment="1">
      <alignment vertical="center"/>
    </xf>
    <xf numFmtId="0" fontId="25" fillId="0" borderId="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28" borderId="16" xfId="0" applyFont="1" applyFill="1" applyBorder="1" applyAlignment="1">
      <alignment horizontal="center" vertical="center"/>
    </xf>
    <xf numFmtId="0" fontId="25" fillId="31" borderId="20" xfId="0" applyFont="1" applyFill="1" applyBorder="1" applyAlignment="1">
      <alignment horizontal="center" vertical="center"/>
    </xf>
    <xf numFmtId="0" fontId="25" fillId="30" borderId="9" xfId="0" applyFont="1" applyFill="1" applyBorder="1" applyAlignment="1">
      <alignment horizontal="center" vertical="center"/>
    </xf>
    <xf numFmtId="0" fontId="25" fillId="30" borderId="20" xfId="0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30" borderId="16" xfId="0" applyFont="1" applyFill="1" applyBorder="1" applyAlignment="1">
      <alignment horizontal="center" vertical="center"/>
    </xf>
    <xf numFmtId="0" fontId="25" fillId="28" borderId="9" xfId="0" applyFont="1" applyFill="1" applyBorder="1" applyAlignment="1">
      <alignment horizontal="center" vertical="center"/>
    </xf>
    <xf numFmtId="0" fontId="25" fillId="28" borderId="20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26" borderId="9" xfId="0" applyFont="1" applyFill="1" applyBorder="1" applyAlignment="1">
      <alignment horizontal="center" vertical="center"/>
    </xf>
    <xf numFmtId="0" fontId="25" fillId="26" borderId="16" xfId="0" applyFont="1" applyFill="1" applyBorder="1" applyAlignment="1">
      <alignment horizontal="center" vertical="center"/>
    </xf>
    <xf numFmtId="0" fontId="25" fillId="26" borderId="20" xfId="0" applyFont="1" applyFill="1" applyBorder="1" applyAlignment="1">
      <alignment horizontal="center" vertical="center"/>
    </xf>
    <xf numFmtId="9" fontId="25" fillId="0" borderId="9" xfId="0" applyNumberFormat="1" applyFont="1" applyBorder="1" applyAlignment="1">
      <alignment horizontal="center" vertical="center" wrapText="1"/>
    </xf>
    <xf numFmtId="9" fontId="25" fillId="0" borderId="16" xfId="0" applyNumberFormat="1" applyFont="1" applyBorder="1" applyAlignment="1">
      <alignment horizontal="center" vertical="center" wrapText="1"/>
    </xf>
    <xf numFmtId="9" fontId="25" fillId="0" borderId="20" xfId="0" applyNumberFormat="1" applyFont="1" applyBorder="1" applyAlignment="1">
      <alignment horizontal="center" vertical="center" wrapText="1"/>
    </xf>
    <xf numFmtId="0" fontId="25" fillId="31" borderId="9" xfId="0" applyFont="1" applyFill="1" applyBorder="1" applyAlignment="1">
      <alignment horizontal="center" vertical="center"/>
    </xf>
    <xf numFmtId="0" fontId="25" fillId="31" borderId="16" xfId="0" applyFont="1" applyFill="1" applyBorder="1" applyAlignment="1">
      <alignment horizontal="center" vertical="center"/>
    </xf>
    <xf numFmtId="9" fontId="25" fillId="5" borderId="9" xfId="0" applyNumberFormat="1" applyFont="1" applyFill="1" applyBorder="1" applyAlignment="1">
      <alignment horizontal="center" vertical="center" wrapText="1"/>
    </xf>
    <xf numFmtId="9" fontId="25" fillId="5" borderId="16" xfId="0" applyNumberFormat="1" applyFont="1" applyFill="1" applyBorder="1" applyAlignment="1">
      <alignment horizontal="center" vertical="center" wrapText="1"/>
    </xf>
    <xf numFmtId="9" fontId="25" fillId="5" borderId="20" xfId="0" applyNumberFormat="1" applyFont="1" applyFill="1" applyBorder="1" applyAlignment="1">
      <alignment horizontal="center" vertical="center" wrapText="1"/>
    </xf>
    <xf numFmtId="9" fontId="25" fillId="5" borderId="9" xfId="0" applyNumberFormat="1" applyFont="1" applyFill="1" applyBorder="1" applyAlignment="1">
      <alignment vertical="center"/>
    </xf>
    <xf numFmtId="9" fontId="25" fillId="5" borderId="16" xfId="0" applyNumberFormat="1" applyFont="1" applyFill="1" applyBorder="1" applyAlignment="1">
      <alignment vertical="center"/>
    </xf>
    <xf numFmtId="9" fontId="25" fillId="5" borderId="20" xfId="0" applyNumberFormat="1" applyFont="1" applyFill="1" applyBorder="1" applyAlignment="1">
      <alignment vertical="center"/>
    </xf>
    <xf numFmtId="0" fontId="25" fillId="5" borderId="9" xfId="0" applyFont="1" applyFill="1" applyBorder="1" applyAlignment="1">
      <alignment horizontal="center" vertical="center" wrapText="1"/>
    </xf>
    <xf numFmtId="0" fontId="25" fillId="5" borderId="20" xfId="0" applyFont="1" applyFill="1" applyBorder="1" applyAlignment="1">
      <alignment horizontal="center" vertical="center" wrapText="1"/>
    </xf>
    <xf numFmtId="1" fontId="25" fillId="5" borderId="39" xfId="0" applyNumberFormat="1" applyFont="1" applyFill="1" applyBorder="1" applyAlignment="1">
      <alignment horizontal="center" vertical="center"/>
    </xf>
    <xf numFmtId="1" fontId="25" fillId="5" borderId="16" xfId="0" applyNumberFormat="1" applyFont="1" applyFill="1" applyBorder="1" applyAlignment="1">
      <alignment horizontal="center" vertical="center"/>
    </xf>
    <xf numFmtId="1" fontId="25" fillId="5" borderId="20" xfId="0" applyNumberFormat="1" applyFont="1" applyFill="1" applyBorder="1" applyAlignment="1">
      <alignment horizontal="center" vertical="center"/>
    </xf>
    <xf numFmtId="0" fontId="25" fillId="30" borderId="39" xfId="0" applyFont="1" applyFill="1" applyBorder="1" applyAlignment="1">
      <alignment horizontal="center" vertical="center"/>
    </xf>
    <xf numFmtId="0" fontId="25" fillId="4" borderId="39" xfId="0" applyFont="1" applyFill="1" applyBorder="1" applyAlignment="1">
      <alignment horizontal="center" vertical="center"/>
    </xf>
    <xf numFmtId="0" fontId="25" fillId="26" borderId="41" xfId="0" applyFont="1" applyFill="1" applyBorder="1" applyAlignment="1">
      <alignment horizontal="center" vertical="center"/>
    </xf>
    <xf numFmtId="0" fontId="25" fillId="30" borderId="41" xfId="0" applyFont="1" applyFill="1" applyBorder="1" applyAlignment="1">
      <alignment horizontal="center" vertical="center"/>
    </xf>
    <xf numFmtId="0" fontId="25" fillId="4" borderId="41" xfId="0" applyFont="1" applyFill="1" applyBorder="1" applyAlignment="1">
      <alignment horizontal="center" vertical="center"/>
    </xf>
    <xf numFmtId="9" fontId="25" fillId="5" borderId="41" xfId="0" applyNumberFormat="1" applyFont="1" applyFill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center"/>
    </xf>
    <xf numFmtId="0" fontId="25" fillId="37" borderId="9" xfId="0" applyFont="1" applyFill="1" applyBorder="1" applyAlignment="1">
      <alignment horizontal="center" vertical="center"/>
    </xf>
    <xf numFmtId="0" fontId="25" fillId="37" borderId="16" xfId="0" applyFont="1" applyFill="1" applyBorder="1" applyAlignment="1">
      <alignment horizontal="center" vertical="center"/>
    </xf>
    <xf numFmtId="0" fontId="25" fillId="37" borderId="41" xfId="0" applyFont="1" applyFill="1" applyBorder="1" applyAlignment="1">
      <alignment horizontal="center" vertical="center"/>
    </xf>
    <xf numFmtId="0" fontId="25" fillId="5" borderId="16" xfId="0" applyFont="1" applyFill="1" applyBorder="1" applyAlignment="1">
      <alignment horizontal="center" vertical="center" wrapText="1"/>
    </xf>
    <xf numFmtId="0" fontId="25" fillId="5" borderId="41" xfId="0" applyFont="1" applyFill="1" applyBorder="1" applyAlignment="1">
      <alignment horizontal="center" vertical="center" wrapText="1"/>
    </xf>
    <xf numFmtId="9" fontId="103" fillId="26" borderId="39" xfId="2" applyNumberFormat="1" applyFont="1" applyFill="1" applyBorder="1" applyAlignment="1" applyProtection="1">
      <alignment vertical="center"/>
    </xf>
    <xf numFmtId="9" fontId="103" fillId="26" borderId="16" xfId="2" applyNumberFormat="1" applyFont="1" applyFill="1" applyBorder="1" applyAlignment="1" applyProtection="1">
      <alignment vertical="center"/>
    </xf>
    <xf numFmtId="9" fontId="103" fillId="26" borderId="20" xfId="2" applyNumberFormat="1" applyFont="1" applyFill="1" applyBorder="1" applyAlignment="1" applyProtection="1">
      <alignment vertical="center"/>
    </xf>
    <xf numFmtId="0" fontId="25" fillId="5" borderId="39" xfId="0" applyFont="1" applyFill="1" applyBorder="1" applyAlignment="1">
      <alignment horizontal="center" vertical="center" wrapText="1"/>
    </xf>
    <xf numFmtId="9" fontId="25" fillId="5" borderId="90" xfId="0" applyNumberFormat="1" applyFont="1" applyFill="1" applyBorder="1" applyAlignment="1">
      <alignment vertical="center"/>
    </xf>
    <xf numFmtId="0" fontId="25" fillId="5" borderId="14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27" xfId="0" applyFont="1" applyFill="1" applyBorder="1" applyAlignment="1">
      <alignment horizontal="center" vertical="center"/>
    </xf>
    <xf numFmtId="9" fontId="25" fillId="5" borderId="132" xfId="0" applyNumberFormat="1" applyFont="1" applyFill="1" applyBorder="1" applyAlignment="1">
      <alignment vertical="center"/>
    </xf>
    <xf numFmtId="9" fontId="25" fillId="5" borderId="136" xfId="0" applyNumberFormat="1" applyFont="1" applyFill="1" applyBorder="1" applyAlignment="1">
      <alignment vertical="center"/>
    </xf>
    <xf numFmtId="9" fontId="25" fillId="5" borderId="137" xfId="0" applyNumberFormat="1" applyFont="1" applyFill="1" applyBorder="1" applyAlignment="1">
      <alignment vertical="center"/>
    </xf>
    <xf numFmtId="9" fontId="25" fillId="5" borderId="89" xfId="0" applyNumberFormat="1" applyFont="1" applyFill="1" applyBorder="1" applyAlignment="1">
      <alignment vertical="center"/>
    </xf>
    <xf numFmtId="9" fontId="25" fillId="5" borderId="41" xfId="0" applyNumberFormat="1" applyFont="1" applyFill="1" applyBorder="1" applyAlignment="1">
      <alignment vertical="center"/>
    </xf>
    <xf numFmtId="0" fontId="25" fillId="26" borderId="46" xfId="0" applyFont="1" applyFill="1" applyBorder="1" applyAlignment="1">
      <alignment horizontal="center" vertical="center"/>
    </xf>
    <xf numFmtId="0" fontId="25" fillId="26" borderId="29" xfId="0" applyFont="1" applyFill="1" applyBorder="1" applyAlignment="1">
      <alignment horizontal="center" vertical="center"/>
    </xf>
    <xf numFmtId="0" fontId="25" fillId="26" borderId="37" xfId="0" applyFont="1" applyFill="1" applyBorder="1" applyAlignment="1">
      <alignment horizontal="center" vertical="center"/>
    </xf>
    <xf numFmtId="0" fontId="25" fillId="30" borderId="9" xfId="0" applyFont="1" applyFill="1" applyBorder="1" applyAlignment="1">
      <alignment horizontal="center" vertical="center" wrapText="1"/>
    </xf>
    <xf numFmtId="0" fontId="25" fillId="30" borderId="16" xfId="0" applyFont="1" applyFill="1" applyBorder="1" applyAlignment="1">
      <alignment horizontal="center" vertical="center" wrapText="1"/>
    </xf>
    <xf numFmtId="0" fontId="25" fillId="30" borderId="20" xfId="0" applyFont="1" applyFill="1" applyBorder="1" applyAlignment="1">
      <alignment horizontal="center" vertical="center" wrapText="1"/>
    </xf>
    <xf numFmtId="0" fontId="25" fillId="4" borderId="9" xfId="0" applyFont="1" applyFill="1" applyBorder="1" applyAlignment="1">
      <alignment horizontal="center" vertical="center" wrapText="1"/>
    </xf>
    <xf numFmtId="0" fontId="25" fillId="4" borderId="16" xfId="0" applyFont="1" applyFill="1" applyBorder="1" applyAlignment="1">
      <alignment horizontal="center" vertical="center" wrapText="1"/>
    </xf>
    <xf numFmtId="0" fontId="25" fillId="4" borderId="20" xfId="0" applyFont="1" applyFill="1" applyBorder="1" applyAlignment="1">
      <alignment horizontal="center" vertical="center" wrapText="1"/>
    </xf>
    <xf numFmtId="9" fontId="25" fillId="5" borderId="9" xfId="0" applyNumberFormat="1" applyFont="1" applyFill="1" applyBorder="1" applyAlignment="1">
      <alignment vertical="center" wrapText="1"/>
    </xf>
    <xf numFmtId="9" fontId="25" fillId="5" borderId="16" xfId="0" applyNumberFormat="1" applyFont="1" applyFill="1" applyBorder="1" applyAlignment="1">
      <alignment vertical="center" wrapText="1"/>
    </xf>
    <xf numFmtId="9" fontId="25" fillId="5" borderId="20" xfId="0" applyNumberFormat="1" applyFont="1" applyFill="1" applyBorder="1" applyAlignment="1">
      <alignment vertical="center" wrapText="1"/>
    </xf>
    <xf numFmtId="0" fontId="25" fillId="4" borderId="11" xfId="0" applyFont="1" applyFill="1" applyBorder="1" applyAlignment="1">
      <alignment horizontal="center" vertical="center"/>
    </xf>
    <xf numFmtId="0" fontId="25" fillId="31" borderId="32" xfId="0" applyFont="1" applyFill="1" applyBorder="1" applyAlignment="1">
      <alignment horizontal="center" vertical="center"/>
    </xf>
    <xf numFmtId="9" fontId="25" fillId="5" borderId="141" xfId="0" applyNumberFormat="1" applyFont="1" applyFill="1" applyBorder="1" applyAlignment="1">
      <alignment vertical="center"/>
    </xf>
    <xf numFmtId="9" fontId="25" fillId="5" borderId="0" xfId="0" applyNumberFormat="1" applyFont="1" applyFill="1" applyAlignment="1">
      <alignment vertical="center"/>
    </xf>
    <xf numFmtId="9" fontId="25" fillId="5" borderId="27" xfId="0" applyNumberFormat="1" applyFont="1" applyFill="1" applyBorder="1" applyAlignment="1">
      <alignment vertical="center"/>
    </xf>
    <xf numFmtId="0" fontId="25" fillId="26" borderId="80" xfId="0" applyFont="1" applyFill="1" applyBorder="1" applyAlignment="1">
      <alignment horizontal="center" vertical="center"/>
    </xf>
    <xf numFmtId="0" fontId="25" fillId="30" borderId="29" xfId="0" applyFont="1" applyFill="1" applyBorder="1" applyAlignment="1">
      <alignment horizontal="center" vertical="center"/>
    </xf>
    <xf numFmtId="0" fontId="25" fillId="31" borderId="28" xfId="0" applyFont="1" applyFill="1" applyBorder="1" applyAlignment="1">
      <alignment horizontal="center" vertical="center"/>
    </xf>
    <xf numFmtId="0" fontId="25" fillId="4" borderId="28" xfId="0" applyFont="1" applyFill="1" applyBorder="1" applyAlignment="1">
      <alignment horizontal="center" vertical="center"/>
    </xf>
    <xf numFmtId="9" fontId="25" fillId="5" borderId="90" xfId="0" applyNumberFormat="1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25" fillId="0" borderId="103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9" fontId="25" fillId="5" borderId="0" xfId="0" applyNumberFormat="1" applyFont="1" applyFill="1" applyAlignment="1">
      <alignment horizontal="center" vertical="center"/>
    </xf>
    <xf numFmtId="9" fontId="25" fillId="5" borderId="27" xfId="0" applyNumberFormat="1" applyFont="1" applyFill="1" applyBorder="1" applyAlignment="1">
      <alignment horizontal="center" vertical="center"/>
    </xf>
    <xf numFmtId="9" fontId="25" fillId="5" borderId="9" xfId="0" applyNumberFormat="1" applyFont="1" applyFill="1" applyBorder="1" applyAlignment="1">
      <alignment horizontal="center" vertical="center"/>
    </xf>
    <xf numFmtId="9" fontId="25" fillId="5" borderId="16" xfId="0" applyNumberFormat="1" applyFont="1" applyFill="1" applyBorder="1" applyAlignment="1">
      <alignment horizontal="center" vertical="center"/>
    </xf>
    <xf numFmtId="9" fontId="25" fillId="5" borderId="20" xfId="0" applyNumberFormat="1" applyFont="1" applyFill="1" applyBorder="1" applyAlignment="1">
      <alignment horizontal="center" vertical="center"/>
    </xf>
    <xf numFmtId="0" fontId="25" fillId="30" borderId="80" xfId="0" applyFont="1" applyFill="1" applyBorder="1" applyAlignment="1">
      <alignment horizontal="center" vertical="center"/>
    </xf>
    <xf numFmtId="0" fontId="25" fillId="28" borderId="80" xfId="0" applyFont="1" applyFill="1" applyBorder="1" applyAlignment="1">
      <alignment horizontal="center" vertical="center"/>
    </xf>
    <xf numFmtId="0" fontId="25" fillId="31" borderId="80" xfId="0" applyFont="1" applyFill="1" applyBorder="1" applyAlignment="1">
      <alignment horizontal="center" vertical="center"/>
    </xf>
    <xf numFmtId="0" fontId="25" fillId="4" borderId="16" xfId="0" applyFont="1" applyFill="1" applyBorder="1" applyAlignment="1">
      <alignment horizontal="center" vertical="center"/>
    </xf>
    <xf numFmtId="9" fontId="25" fillId="5" borderId="88" xfId="0" applyNumberFormat="1" applyFont="1" applyFill="1" applyBorder="1" applyAlignment="1">
      <alignment vertical="center"/>
    </xf>
    <xf numFmtId="9" fontId="25" fillId="5" borderId="80" xfId="0" applyNumberFormat="1" applyFont="1" applyFill="1" applyBorder="1" applyAlignment="1">
      <alignment vertical="center"/>
    </xf>
    <xf numFmtId="9" fontId="25" fillId="0" borderId="138" xfId="0" applyNumberFormat="1" applyFont="1" applyBorder="1" applyAlignment="1">
      <alignment horizontal="center" vertical="center"/>
    </xf>
    <xf numFmtId="9" fontId="25" fillId="0" borderId="29" xfId="0" applyNumberFormat="1" applyFont="1" applyBorder="1" applyAlignment="1">
      <alignment horizontal="center" vertical="center"/>
    </xf>
    <xf numFmtId="9" fontId="25" fillId="0" borderId="80" xfId="0" applyNumberFormat="1" applyFont="1" applyBorder="1" applyAlignment="1">
      <alignment vertical="center" wrapText="1"/>
    </xf>
    <xf numFmtId="9" fontId="25" fillId="0" borderId="87" xfId="0" applyNumberFormat="1" applyFont="1" applyBorder="1" applyAlignment="1">
      <alignment vertical="center"/>
    </xf>
    <xf numFmtId="9" fontId="25" fillId="5" borderId="87" xfId="0" applyNumberFormat="1" applyFont="1" applyFill="1" applyBorder="1" applyAlignment="1">
      <alignment vertical="center"/>
    </xf>
    <xf numFmtId="9" fontId="25" fillId="5" borderId="140" xfId="0" applyNumberFormat="1" applyFont="1" applyFill="1" applyBorder="1" applyAlignment="1">
      <alignment vertical="center"/>
    </xf>
    <xf numFmtId="9" fontId="25" fillId="30" borderId="9" xfId="0" applyNumberFormat="1" applyFont="1" applyFill="1" applyBorder="1" applyAlignment="1">
      <alignment vertical="center"/>
    </xf>
    <xf numFmtId="9" fontId="25" fillId="30" borderId="20" xfId="0" applyNumberFormat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27" xfId="0" applyFont="1" applyBorder="1" applyAlignment="1">
      <alignment horizontal="center" vertical="center" wrapText="1"/>
    </xf>
    <xf numFmtId="0" fontId="3" fillId="0" borderId="150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116" xfId="0" applyFont="1" applyBorder="1" applyAlignment="1">
      <alignment horizontal="center" vertical="center" wrapText="1"/>
    </xf>
    <xf numFmtId="0" fontId="3" fillId="0" borderId="102" xfId="0" applyFont="1" applyBorder="1" applyAlignment="1">
      <alignment horizontal="center" vertical="center" wrapText="1"/>
    </xf>
    <xf numFmtId="0" fontId="85" fillId="0" borderId="26" xfId="0" applyFont="1" applyBorder="1" applyAlignment="1">
      <alignment horizontal="center"/>
    </xf>
    <xf numFmtId="0" fontId="85" fillId="0" borderId="30" xfId="0" applyFont="1" applyBorder="1" applyAlignment="1">
      <alignment horizontal="center"/>
    </xf>
    <xf numFmtId="0" fontId="85" fillId="0" borderId="33" xfId="0" applyFont="1" applyBorder="1" applyAlignment="1">
      <alignment horizontal="center"/>
    </xf>
    <xf numFmtId="0" fontId="3" fillId="0" borderId="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41" xfId="0" applyFont="1" applyBorder="1" applyAlignment="1">
      <alignment horizontal="center" vertical="center" wrapText="1"/>
    </xf>
    <xf numFmtId="9" fontId="3" fillId="5" borderId="9" xfId="0" applyNumberFormat="1" applyFont="1" applyFill="1" applyBorder="1" applyAlignment="1">
      <alignment horizontal="center" vertical="center" wrapText="1"/>
    </xf>
    <xf numFmtId="9" fontId="3" fillId="5" borderId="16" xfId="0" applyNumberFormat="1" applyFont="1" applyFill="1" applyBorder="1" applyAlignment="1">
      <alignment horizontal="center" vertical="center" wrapText="1"/>
    </xf>
    <xf numFmtId="9" fontId="3" fillId="5" borderId="41" xfId="0" applyNumberFormat="1" applyFont="1" applyFill="1" applyBorder="1" applyAlignment="1">
      <alignment horizontal="center" vertical="center" wrapText="1"/>
    </xf>
    <xf numFmtId="9" fontId="3" fillId="0" borderId="9" xfId="0" applyNumberFormat="1" applyFont="1" applyBorder="1" applyAlignment="1">
      <alignment horizontal="center" vertical="center" wrapText="1"/>
    </xf>
    <xf numFmtId="9" fontId="3" fillId="0" borderId="20" xfId="0" applyNumberFormat="1" applyFont="1" applyBorder="1" applyAlignment="1">
      <alignment horizontal="center" vertical="center" wrapText="1"/>
    </xf>
    <xf numFmtId="0" fontId="41" fillId="47" borderId="12" xfId="0" applyFont="1" applyFill="1" applyBorder="1" applyAlignment="1">
      <alignment horizontal="center" vertical="center"/>
    </xf>
    <xf numFmtId="0" fontId="41" fillId="47" borderId="14" xfId="0" applyFont="1" applyFill="1" applyBorder="1" applyAlignment="1">
      <alignment horizontal="center" vertical="center"/>
    </xf>
    <xf numFmtId="0" fontId="41" fillId="47" borderId="61" xfId="0" applyFont="1" applyFill="1" applyBorder="1" applyAlignment="1">
      <alignment horizontal="center" vertical="center"/>
    </xf>
    <xf numFmtId="0" fontId="41" fillId="47" borderId="15" xfId="0" applyFont="1" applyFill="1" applyBorder="1" applyAlignment="1">
      <alignment horizontal="center" vertical="center"/>
    </xf>
    <xf numFmtId="0" fontId="41" fillId="47" borderId="0" xfId="0" applyFont="1" applyFill="1" applyAlignment="1">
      <alignment horizontal="center" vertical="center"/>
    </xf>
    <xf numFmtId="0" fontId="41" fillId="47" borderId="63" xfId="0" applyFont="1" applyFill="1" applyBorder="1" applyAlignment="1">
      <alignment horizontal="center" vertical="center"/>
    </xf>
    <xf numFmtId="9" fontId="3" fillId="5" borderId="20" xfId="0" applyNumberFormat="1" applyFont="1" applyFill="1" applyBorder="1" applyAlignment="1">
      <alignment horizontal="center"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33" xfId="0" applyFont="1" applyFill="1" applyBorder="1" applyAlignment="1">
      <alignment horizontal="center" vertical="center" wrapText="1"/>
    </xf>
    <xf numFmtId="49" fontId="16" fillId="34" borderId="9" xfId="0" applyNumberFormat="1" applyFont="1" applyFill="1" applyBorder="1" applyAlignment="1">
      <alignment horizontal="center" vertical="center" wrapText="1"/>
    </xf>
    <xf numFmtId="49" fontId="16" fillId="34" borderId="16" xfId="0" applyNumberFormat="1" applyFont="1" applyFill="1" applyBorder="1" applyAlignment="1">
      <alignment horizontal="center" vertical="center" wrapText="1"/>
    </xf>
    <xf numFmtId="49" fontId="16" fillId="34" borderId="20" xfId="0" applyNumberFormat="1" applyFont="1" applyFill="1" applyBorder="1" applyAlignment="1">
      <alignment horizontal="center" vertical="center" wrapText="1"/>
    </xf>
    <xf numFmtId="49" fontId="16" fillId="34" borderId="9" xfId="0" applyNumberFormat="1" applyFont="1" applyFill="1" applyBorder="1" applyAlignment="1">
      <alignment horizontal="center" vertical="center"/>
    </xf>
    <xf numFmtId="49" fontId="16" fillId="34" borderId="16" xfId="0" applyNumberFormat="1" applyFont="1" applyFill="1" applyBorder="1" applyAlignment="1">
      <alignment horizontal="center" vertical="center"/>
    </xf>
    <xf numFmtId="49" fontId="16" fillId="34" borderId="20" xfId="0" applyNumberFormat="1" applyFont="1" applyFill="1" applyBorder="1" applyAlignment="1">
      <alignment horizontal="center" vertical="center"/>
    </xf>
    <xf numFmtId="49" fontId="16" fillId="5" borderId="9" xfId="0" applyNumberFormat="1" applyFont="1" applyFill="1" applyBorder="1" applyAlignment="1">
      <alignment horizontal="center" vertical="center"/>
    </xf>
    <xf numFmtId="49" fontId="16" fillId="5" borderId="16" xfId="0" applyNumberFormat="1" applyFont="1" applyFill="1" applyBorder="1" applyAlignment="1">
      <alignment horizontal="center" vertical="center"/>
    </xf>
    <xf numFmtId="49" fontId="16" fillId="5" borderId="20" xfId="0" applyNumberFormat="1" applyFont="1" applyFill="1" applyBorder="1" applyAlignment="1">
      <alignment horizontal="center" vertical="center"/>
    </xf>
    <xf numFmtId="49" fontId="16" fillId="5" borderId="9" xfId="0" applyNumberFormat="1" applyFont="1" applyFill="1" applyBorder="1" applyAlignment="1">
      <alignment horizontal="center" vertical="center" wrapText="1"/>
    </xf>
    <xf numFmtId="49" fontId="16" fillId="5" borderId="16" xfId="0" applyNumberFormat="1" applyFont="1" applyFill="1" applyBorder="1" applyAlignment="1">
      <alignment horizontal="center" vertical="center" wrapText="1"/>
    </xf>
    <xf numFmtId="49" fontId="16" fillId="5" borderId="20" xfId="0" applyNumberFormat="1" applyFont="1" applyFill="1" applyBorder="1" applyAlignment="1">
      <alignment horizontal="center" vertical="center" wrapText="1"/>
    </xf>
    <xf numFmtId="0" fontId="16" fillId="5" borderId="9" xfId="0" applyFont="1" applyFill="1" applyBorder="1" applyAlignment="1">
      <alignment horizontal="center" vertical="center" wrapText="1"/>
    </xf>
    <xf numFmtId="0" fontId="16" fillId="5" borderId="16" xfId="0" applyFont="1" applyFill="1" applyBorder="1" applyAlignment="1">
      <alignment horizontal="center" vertical="center" wrapText="1"/>
    </xf>
    <xf numFmtId="0" fontId="16" fillId="5" borderId="20" xfId="0" applyFont="1" applyFill="1" applyBorder="1" applyAlignment="1">
      <alignment horizontal="center" vertical="center" wrapText="1"/>
    </xf>
    <xf numFmtId="0" fontId="16" fillId="5" borderId="9" xfId="0" applyFont="1" applyFill="1" applyBorder="1" applyAlignment="1">
      <alignment horizontal="center" vertical="center"/>
    </xf>
    <xf numFmtId="0" fontId="16" fillId="5" borderId="16" xfId="0" applyFont="1" applyFill="1" applyBorder="1" applyAlignment="1">
      <alignment horizontal="center" vertical="center"/>
    </xf>
    <xf numFmtId="0" fontId="16" fillId="5" borderId="20" xfId="0" applyFont="1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16" fillId="34" borderId="9" xfId="0" applyFont="1" applyFill="1" applyBorder="1" applyAlignment="1">
      <alignment horizontal="center" vertical="center"/>
    </xf>
    <xf numFmtId="0" fontId="16" fillId="34" borderId="16" xfId="0" applyFont="1" applyFill="1" applyBorder="1" applyAlignment="1">
      <alignment horizontal="center" vertical="center"/>
    </xf>
    <xf numFmtId="0" fontId="16" fillId="34" borderId="20" xfId="0" applyFont="1" applyFill="1" applyBorder="1" applyAlignment="1">
      <alignment horizontal="center" vertical="center"/>
    </xf>
    <xf numFmtId="0" fontId="15" fillId="9" borderId="26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6" fillId="59" borderId="9" xfId="0" applyFont="1" applyFill="1" applyBorder="1" applyAlignment="1">
      <alignment horizontal="center" vertical="distributed" wrapText="1"/>
    </xf>
    <xf numFmtId="0" fontId="16" fillId="59" borderId="16" xfId="0" applyFont="1" applyFill="1" applyBorder="1" applyAlignment="1">
      <alignment horizontal="center" vertical="distributed" wrapText="1"/>
    </xf>
    <xf numFmtId="0" fontId="16" fillId="59" borderId="20" xfId="0" applyFont="1" applyFill="1" applyBorder="1" applyAlignment="1">
      <alignment horizontal="center" vertical="distributed" wrapText="1"/>
    </xf>
    <xf numFmtId="0" fontId="7" fillId="0" borderId="26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46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/>
    <xf numFmtId="0" fontId="7" fillId="6" borderId="29" xfId="0" applyFont="1" applyFill="1" applyBorder="1" applyAlignment="1"/>
    <xf numFmtId="0" fontId="0" fillId="0" borderId="32" xfId="0" applyBorder="1" applyAlignment="1"/>
    <xf numFmtId="0" fontId="0" fillId="0" borderId="37" xfId="0" applyBorder="1" applyAlignment="1"/>
    <xf numFmtId="0" fontId="7" fillId="6" borderId="26" xfId="0" applyFont="1" applyFill="1" applyBorder="1" applyAlignment="1">
      <alignment horizontal="center" vertical="center"/>
    </xf>
    <xf numFmtId="0" fontId="7" fillId="6" borderId="33" xfId="0" applyFont="1" applyFill="1" applyBorder="1" applyAlignment="1">
      <alignment horizontal="center" vertical="center"/>
    </xf>
    <xf numFmtId="15" fontId="9" fillId="0" borderId="11" xfId="0" applyNumberFormat="1" applyFont="1" applyBorder="1" applyAlignment="1">
      <alignment horizontal="center" vertical="center"/>
    </xf>
    <xf numFmtId="15" fontId="9" fillId="0" borderId="46" xfId="0" applyNumberFormat="1" applyFont="1" applyBorder="1" applyAlignment="1">
      <alignment horizontal="center" vertical="center"/>
    </xf>
    <xf numFmtId="15" fontId="9" fillId="0" borderId="32" xfId="0" applyNumberFormat="1" applyFont="1" applyBorder="1" applyAlignment="1">
      <alignment horizontal="center" vertical="center"/>
    </xf>
    <xf numFmtId="15" fontId="9" fillId="0" borderId="37" xfId="0" applyNumberFormat="1" applyFont="1" applyBorder="1" applyAlignment="1">
      <alignment horizontal="center" vertical="center"/>
    </xf>
    <xf numFmtId="0" fontId="16" fillId="60" borderId="9" xfId="0" applyFont="1" applyFill="1" applyBorder="1" applyAlignment="1">
      <alignment horizontal="center" vertical="center" wrapText="1"/>
    </xf>
    <xf numFmtId="0" fontId="16" fillId="60" borderId="16" xfId="0" applyFont="1" applyFill="1" applyBorder="1" applyAlignment="1">
      <alignment horizontal="center" vertical="center" wrapText="1"/>
    </xf>
    <xf numFmtId="0" fontId="16" fillId="60" borderId="20" xfId="0" applyFont="1" applyFill="1" applyBorder="1" applyAlignment="1">
      <alignment horizontal="center" vertical="center" wrapText="1"/>
    </xf>
    <xf numFmtId="0" fontId="4" fillId="5" borderId="26" xfId="6" applyFill="1" applyBorder="1" applyAlignment="1" applyProtection="1">
      <alignment horizontal="center" vertical="center" wrapText="1"/>
    </xf>
    <xf numFmtId="0" fontId="4" fillId="5" borderId="33" xfId="6" applyFill="1" applyBorder="1" applyAlignment="1" applyProtection="1">
      <alignment horizontal="center" vertical="center" wrapText="1"/>
    </xf>
    <xf numFmtId="0" fontId="0" fillId="0" borderId="33" xfId="0" applyBorder="1" applyAlignment="1"/>
    <xf numFmtId="9" fontId="0" fillId="0" borderId="9" xfId="0" applyNumberFormat="1" applyBorder="1" applyAlignment="1">
      <alignment horizontal="center" vertical="center"/>
    </xf>
    <xf numFmtId="9" fontId="0" fillId="0" borderId="16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8" fillId="5" borderId="1" xfId="10" applyFill="1" applyBorder="1" applyAlignment="1">
      <alignment horizontal="center" vertical="center" wrapText="1"/>
    </xf>
    <xf numFmtId="0" fontId="8" fillId="5" borderId="9" xfId="10" applyFill="1" applyBorder="1" applyAlignment="1">
      <alignment horizontal="center" vertical="center" wrapText="1"/>
    </xf>
    <xf numFmtId="0" fontId="8" fillId="5" borderId="16" xfId="10" applyFill="1" applyBorder="1" applyAlignment="1">
      <alignment horizontal="center" vertical="center" wrapText="1"/>
    </xf>
    <xf numFmtId="0" fontId="8" fillId="5" borderId="20" xfId="1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47" xfId="0" applyFill="1" applyBorder="1" applyAlignment="1">
      <alignment horizontal="center" vertical="center" wrapText="1"/>
    </xf>
    <xf numFmtId="0" fontId="0" fillId="5" borderId="52" xfId="0" applyFill="1" applyBorder="1" applyAlignment="1">
      <alignment horizontal="center" vertical="center" wrapText="1"/>
    </xf>
    <xf numFmtId="0" fontId="8" fillId="7" borderId="9" xfId="10" applyFill="1" applyBorder="1" applyAlignment="1" applyProtection="1">
      <alignment horizontal="center" vertical="center" wrapText="1"/>
      <protection locked="0"/>
    </xf>
    <xf numFmtId="0" fontId="8" fillId="7" borderId="16" xfId="10" applyFill="1" applyBorder="1" applyAlignment="1" applyProtection="1">
      <alignment horizontal="center" vertical="center" wrapText="1"/>
      <protection locked="0"/>
    </xf>
    <xf numFmtId="0" fontId="8" fillId="7" borderId="20" xfId="10" applyFill="1" applyBorder="1" applyAlignment="1" applyProtection="1">
      <alignment horizontal="center" vertical="center" wrapText="1"/>
      <protection locked="0"/>
    </xf>
    <xf numFmtId="166" fontId="0" fillId="0" borderId="9" xfId="0" applyNumberFormat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18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/>
    <xf numFmtId="9" fontId="0" fillId="5" borderId="1" xfId="0" applyNumberFormat="1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37" xfId="0" applyBorder="1" applyAlignment="1">
      <alignment horizontal="center"/>
    </xf>
    <xf numFmtId="0" fontId="9" fillId="5" borderId="1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center"/>
    </xf>
    <xf numFmtId="0" fontId="7" fillId="26" borderId="26" xfId="0" applyFont="1" applyFill="1" applyBorder="1" applyAlignment="1">
      <alignment horizontal="center"/>
    </xf>
    <xf numFmtId="0" fontId="7" fillId="0" borderId="26" xfId="0" applyFont="1" applyBorder="1" applyAlignment="1">
      <alignment horizontal="center" vertical="center"/>
    </xf>
    <xf numFmtId="9" fontId="0" fillId="0" borderId="26" xfId="0" applyNumberFormat="1" applyBorder="1" applyAlignment="1">
      <alignment horizontal="center" vertical="center"/>
    </xf>
    <xf numFmtId="9" fontId="0" fillId="0" borderId="33" xfId="0" applyNumberFormat="1" applyBorder="1" applyAlignment="1">
      <alignment horizontal="center" vertical="center"/>
    </xf>
    <xf numFmtId="0" fontId="9" fillId="0" borderId="26" xfId="0" applyFont="1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6" fillId="9" borderId="77" xfId="0" applyFont="1" applyFill="1" applyBorder="1" applyAlignment="1">
      <alignment horizontal="center" wrapText="1"/>
    </xf>
    <xf numFmtId="0" fontId="6" fillId="9" borderId="78" xfId="0" applyFont="1" applyFill="1" applyBorder="1" applyAlignment="1">
      <alignment horizontal="center" wrapText="1"/>
    </xf>
    <xf numFmtId="0" fontId="6" fillId="9" borderId="79" xfId="0" applyFont="1" applyFill="1" applyBorder="1" applyAlignment="1">
      <alignment horizontal="center" wrapText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0" fillId="5" borderId="30" xfId="0" applyFill="1" applyBorder="1" applyAlignment="1" applyProtection="1">
      <alignment horizontal="center" vertical="center"/>
      <protection hidden="1"/>
    </xf>
    <xf numFmtId="0" fontId="0" fillId="5" borderId="33" xfId="0" applyFill="1" applyBorder="1" applyAlignment="1" applyProtection="1">
      <alignment horizontal="center" vertical="center"/>
      <protection hidden="1"/>
    </xf>
    <xf numFmtId="49" fontId="7" fillId="9" borderId="26" xfId="0" applyNumberFormat="1" applyFont="1" applyFill="1" applyBorder="1" applyAlignment="1">
      <alignment horizontal="center"/>
    </xf>
    <xf numFmtId="49" fontId="7" fillId="9" borderId="30" xfId="0" applyNumberFormat="1" applyFont="1" applyFill="1" applyBorder="1" applyAlignment="1">
      <alignment horizontal="center"/>
    </xf>
    <xf numFmtId="49" fontId="7" fillId="9" borderId="33" xfId="0" applyNumberFormat="1" applyFont="1" applyFill="1" applyBorder="1" applyAlignment="1">
      <alignment horizontal="center"/>
    </xf>
    <xf numFmtId="0" fontId="0" fillId="0" borderId="20" xfId="0" applyBorder="1" applyAlignment="1" applyProtection="1">
      <alignment horizontal="left" vertical="top" wrapText="1"/>
      <protection hidden="1"/>
    </xf>
    <xf numFmtId="0" fontId="0" fillId="0" borderId="20" xfId="0" applyBorder="1" applyAlignment="1" applyProtection="1">
      <alignment horizontal="left" vertical="center" wrapText="1"/>
      <protection hidden="1"/>
    </xf>
    <xf numFmtId="0" fontId="0" fillId="0" borderId="26" xfId="0" applyBorder="1" applyAlignment="1" applyProtection="1">
      <alignment horizontal="left" vertical="top"/>
      <protection hidden="1"/>
    </xf>
    <xf numFmtId="0" fontId="0" fillId="0" borderId="30" xfId="0" applyBorder="1" applyAlignment="1" applyProtection="1">
      <alignment horizontal="left" vertical="top"/>
      <protection hidden="1"/>
    </xf>
    <xf numFmtId="0" fontId="0" fillId="0" borderId="33" xfId="0" applyBorder="1" applyAlignment="1" applyProtection="1">
      <alignment horizontal="left" vertical="center"/>
      <protection hidden="1"/>
    </xf>
    <xf numFmtId="0" fontId="59" fillId="26" borderId="26" xfId="2" applyFont="1" applyFill="1" applyBorder="1" applyAlignment="1" applyProtection="1">
      <alignment horizontal="left" vertical="top"/>
      <protection hidden="1"/>
    </xf>
    <xf numFmtId="0" fontId="59" fillId="26" borderId="30" xfId="2" applyFont="1" applyFill="1" applyBorder="1" applyAlignment="1" applyProtection="1">
      <alignment horizontal="left" vertical="top"/>
      <protection hidden="1"/>
    </xf>
    <xf numFmtId="0" fontId="59" fillId="26" borderId="33" xfId="2" applyFont="1" applyFill="1" applyBorder="1" applyAlignment="1" applyProtection="1">
      <alignment horizontal="left" vertical="center"/>
      <protection hidden="1"/>
    </xf>
    <xf numFmtId="0" fontId="0" fillId="5" borderId="26" xfId="0" applyFill="1" applyBorder="1" applyAlignment="1" applyProtection="1">
      <alignment horizontal="center"/>
      <protection hidden="1"/>
    </xf>
    <xf numFmtId="0" fontId="0" fillId="5" borderId="30" xfId="0" applyFill="1" applyBorder="1" applyAlignment="1" applyProtection="1">
      <alignment horizontal="center"/>
      <protection hidden="1"/>
    </xf>
    <xf numFmtId="0" fontId="0" fillId="5" borderId="33" xfId="0" applyFill="1" applyBorder="1" applyAlignment="1" applyProtection="1">
      <alignment horizontal="center"/>
      <protection hidden="1"/>
    </xf>
    <xf numFmtId="15" fontId="10" fillId="0" borderId="9" xfId="0" applyNumberFormat="1" applyFont="1" applyBorder="1" applyAlignment="1" applyProtection="1">
      <alignment horizontal="center" vertical="center" wrapText="1"/>
      <protection hidden="1"/>
    </xf>
    <xf numFmtId="15" fontId="10" fillId="0" borderId="20" xfId="0" applyNumberFormat="1" applyFont="1" applyBorder="1" applyAlignment="1" applyProtection="1">
      <alignment horizontal="center" vertical="center" wrapText="1"/>
      <protection hidden="1"/>
    </xf>
    <xf numFmtId="15" fontId="10" fillId="0" borderId="16" xfId="0" applyNumberFormat="1" applyFont="1" applyBorder="1" applyAlignment="1" applyProtection="1">
      <alignment horizontal="center" vertical="center"/>
      <protection hidden="1"/>
    </xf>
    <xf numFmtId="15" fontId="10" fillId="0" borderId="20" xfId="0" applyNumberFormat="1" applyFont="1" applyBorder="1" applyAlignment="1" applyProtection="1">
      <alignment horizontal="center" vertical="center"/>
      <protection hidden="1"/>
    </xf>
    <xf numFmtId="15" fontId="10" fillId="0" borderId="16" xfId="0" applyNumberFormat="1" applyFont="1" applyBorder="1" applyAlignment="1" applyProtection="1">
      <alignment horizontal="center" vertical="center" wrapText="1"/>
      <protection hidden="1"/>
    </xf>
    <xf numFmtId="15" fontId="10" fillId="0" borderId="9" xfId="0" applyNumberFormat="1" applyFont="1" applyBorder="1" applyAlignment="1" applyProtection="1">
      <alignment horizontal="center" vertical="center"/>
      <protection hidden="1"/>
    </xf>
    <xf numFmtId="15" fontId="0" fillId="0" borderId="16" xfId="0" applyNumberFormat="1" applyBorder="1" applyAlignment="1" applyProtection="1">
      <alignment horizontal="center" vertical="center"/>
      <protection hidden="1"/>
    </xf>
    <xf numFmtId="15" fontId="0" fillId="0" borderId="20" xfId="0" applyNumberFormat="1" applyBorder="1" applyAlignment="1" applyProtection="1">
      <alignment horizontal="center" vertical="center"/>
      <protection hidden="1"/>
    </xf>
    <xf numFmtId="0" fontId="10" fillId="0" borderId="26" xfId="0" applyFont="1" applyBorder="1" applyAlignment="1" applyProtection="1">
      <alignment horizontal="left" vertical="top"/>
      <protection hidden="1"/>
    </xf>
    <xf numFmtId="0" fontId="10" fillId="0" borderId="30" xfId="0" applyFont="1" applyBorder="1" applyAlignment="1" applyProtection="1">
      <alignment horizontal="left" vertical="top"/>
      <protection hidden="1"/>
    </xf>
    <xf numFmtId="0" fontId="10" fillId="0" borderId="33" xfId="0" applyFont="1" applyBorder="1" applyAlignment="1" applyProtection="1">
      <alignment horizontal="left" vertical="top"/>
      <protection hidden="1"/>
    </xf>
    <xf numFmtId="0" fontId="47" fillId="0" borderId="26" xfId="2" applyFill="1" applyBorder="1" applyAlignment="1" applyProtection="1">
      <alignment horizontal="left" vertical="top"/>
      <protection hidden="1"/>
    </xf>
    <xf numFmtId="0" fontId="47" fillId="0" borderId="30" xfId="2" applyFill="1" applyBorder="1" applyAlignment="1" applyProtection="1">
      <alignment horizontal="left" vertical="top"/>
      <protection hidden="1"/>
    </xf>
    <xf numFmtId="0" fontId="47" fillId="0" borderId="33" xfId="2" applyFill="1" applyBorder="1" applyAlignment="1" applyProtection="1">
      <alignment horizontal="left" vertical="center"/>
      <protection hidden="1"/>
    </xf>
    <xf numFmtId="0" fontId="0" fillId="0" borderId="26" xfId="0" applyBorder="1" applyAlignment="1">
      <alignment horizontal="center" vertical="top" wrapText="1"/>
    </xf>
    <xf numFmtId="0" fontId="0" fillId="0" borderId="30" xfId="0" applyBorder="1" applyAlignment="1">
      <alignment horizontal="center" vertical="top" wrapText="1"/>
    </xf>
    <xf numFmtId="49" fontId="7" fillId="0" borderId="26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0" fillId="0" borderId="2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0" fillId="0" borderId="27" xfId="0" applyBorder="1" applyAlignment="1">
      <alignment horizontal="left" vertical="center" wrapText="1"/>
    </xf>
    <xf numFmtId="0" fontId="0" fillId="0" borderId="37" xfId="0" applyBorder="1" applyAlignment="1">
      <alignment horizontal="left" vertical="center" wrapText="1"/>
    </xf>
    <xf numFmtId="0" fontId="10" fillId="0" borderId="15" xfId="0" applyFont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0" fillId="0" borderId="53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15" fontId="62" fillId="0" borderId="28" xfId="0" applyNumberFormat="1" applyFont="1" applyBorder="1" applyAlignment="1" applyProtection="1">
      <alignment horizontal="center" vertical="center" wrapText="1"/>
      <protection hidden="1"/>
    </xf>
    <xf numFmtId="0" fontId="10" fillId="0" borderId="74" xfId="9" applyBorder="1" applyAlignment="1"/>
    <xf numFmtId="0" fontId="10" fillId="0" borderId="75" xfId="9" applyBorder="1" applyAlignment="1"/>
    <xf numFmtId="0" fontId="10" fillId="0" borderId="76" xfId="9" applyBorder="1" applyAlignment="1"/>
    <xf numFmtId="0" fontId="0" fillId="0" borderId="74" xfId="0" applyBorder="1" applyAlignment="1">
      <alignment wrapText="1"/>
    </xf>
    <xf numFmtId="0" fontId="0" fillId="0" borderId="75" xfId="0" applyBorder="1" applyAlignment="1">
      <alignment wrapText="1"/>
    </xf>
    <xf numFmtId="0" fontId="0" fillId="0" borderId="76" xfId="0" applyBorder="1" applyAlignment="1">
      <alignment wrapText="1"/>
    </xf>
    <xf numFmtId="0" fontId="10" fillId="0" borderId="82" xfId="0" applyFont="1" applyBorder="1" applyAlignment="1" applyProtection="1">
      <alignment horizontal="left" vertical="top" wrapText="1"/>
      <protection hidden="1"/>
    </xf>
    <xf numFmtId="0" fontId="10" fillId="0" borderId="75" xfId="0" applyFont="1" applyBorder="1" applyAlignment="1" applyProtection="1">
      <alignment horizontal="left" vertical="top" wrapText="1"/>
      <protection hidden="1"/>
    </xf>
    <xf numFmtId="0" fontId="10" fillId="0" borderId="83" xfId="0" applyFont="1" applyBorder="1" applyAlignment="1" applyProtection="1">
      <alignment horizontal="left" vertical="top" wrapText="1"/>
      <protection hidden="1"/>
    </xf>
    <xf numFmtId="0" fontId="0" fillId="0" borderId="74" xfId="0" applyBorder="1" applyAlignment="1" applyProtection="1">
      <alignment horizontal="left" vertical="top" wrapText="1"/>
      <protection hidden="1"/>
    </xf>
    <xf numFmtId="0" fontId="0" fillId="0" borderId="75" xfId="0" applyBorder="1" applyAlignment="1" applyProtection="1">
      <alignment horizontal="left" vertical="top" wrapText="1"/>
      <protection hidden="1"/>
    </xf>
    <xf numFmtId="0" fontId="0" fillId="0" borderId="76" xfId="0" applyBorder="1" applyAlignment="1" applyProtection="1">
      <alignment horizontal="left" vertical="top" wrapText="1"/>
      <protection hidden="1"/>
    </xf>
    <xf numFmtId="0" fontId="0" fillId="0" borderId="84" xfId="0" applyBorder="1" applyAlignment="1" applyProtection="1">
      <alignment horizontal="left" vertical="top" wrapText="1"/>
      <protection hidden="1"/>
    </xf>
    <xf numFmtId="0" fontId="0" fillId="0" borderId="85" xfId="0" applyBorder="1" applyAlignment="1" applyProtection="1">
      <alignment horizontal="left" vertical="top" wrapText="1"/>
      <protection hidden="1"/>
    </xf>
    <xf numFmtId="0" fontId="0" fillId="0" borderId="86" xfId="0" applyBorder="1" applyAlignment="1" applyProtection="1">
      <alignment horizontal="left" vertical="top" wrapText="1"/>
      <protection hidden="1"/>
    </xf>
    <xf numFmtId="0" fontId="61" fillId="64" borderId="26" xfId="0" applyFont="1" applyFill="1" applyBorder="1" applyAlignment="1" applyProtection="1">
      <alignment horizontal="left" vertical="top" wrapText="1"/>
      <protection hidden="1"/>
    </xf>
    <xf numFmtId="0" fontId="61" fillId="64" borderId="30" xfId="0" applyFont="1" applyFill="1" applyBorder="1" applyAlignment="1" applyProtection="1">
      <alignment horizontal="left" vertical="top" wrapText="1"/>
      <protection hidden="1"/>
    </xf>
    <xf numFmtId="0" fontId="61" fillId="64" borderId="33" xfId="0" applyFont="1" applyFill="1" applyBorder="1" applyAlignment="1" applyProtection="1">
      <alignment horizontal="left" vertical="top" wrapText="1"/>
      <protection hidden="1"/>
    </xf>
    <xf numFmtId="0" fontId="0" fillId="0" borderId="74" xfId="0" applyBorder="1" applyAlignment="1">
      <alignment horizontal="left" vertical="top"/>
    </xf>
    <xf numFmtId="0" fontId="0" fillId="0" borderId="75" xfId="0" applyBorder="1" applyAlignment="1">
      <alignment horizontal="left" vertical="top"/>
    </xf>
    <xf numFmtId="0" fontId="0" fillId="0" borderId="76" xfId="0" applyBorder="1" applyAlignment="1">
      <alignment horizontal="left" vertical="top"/>
    </xf>
    <xf numFmtId="0" fontId="0" fillId="9" borderId="26" xfId="0" applyFill="1" applyBorder="1" applyAlignment="1">
      <alignment horizontal="center" vertical="center"/>
    </xf>
    <xf numFmtId="0" fontId="0" fillId="9" borderId="33" xfId="0" applyFill="1" applyBorder="1" applyAlignment="1">
      <alignment horizontal="center" vertical="center"/>
    </xf>
    <xf numFmtId="0" fontId="10" fillId="64" borderId="91" xfId="0" applyFont="1" applyFill="1" applyBorder="1" applyAlignment="1">
      <alignment horizontal="center" vertical="top"/>
    </xf>
    <xf numFmtId="0" fontId="10" fillId="64" borderId="92" xfId="0" applyFont="1" applyFill="1" applyBorder="1" applyAlignment="1">
      <alignment horizontal="center" vertical="top"/>
    </xf>
    <xf numFmtId="0" fontId="10" fillId="64" borderId="93" xfId="0" applyFont="1" applyFill="1" applyBorder="1" applyAlignment="1">
      <alignment horizontal="center" vertical="top"/>
    </xf>
    <xf numFmtId="0" fontId="6" fillId="9" borderId="26" xfId="0" applyFont="1" applyFill="1" applyBorder="1" applyAlignment="1">
      <alignment horizontal="center" vertical="center"/>
    </xf>
    <xf numFmtId="0" fontId="6" fillId="9" borderId="30" xfId="0" applyFont="1" applyFill="1" applyBorder="1" applyAlignment="1">
      <alignment horizontal="center" vertical="center"/>
    </xf>
    <xf numFmtId="0" fontId="6" fillId="9" borderId="33" xfId="0" applyFont="1" applyFill="1" applyBorder="1" applyAlignment="1">
      <alignment horizontal="center" vertical="center"/>
    </xf>
    <xf numFmtId="0" fontId="10" fillId="0" borderId="91" xfId="0" applyFont="1" applyBorder="1" applyAlignment="1">
      <alignment horizontal="center" vertical="top"/>
    </xf>
    <xf numFmtId="0" fontId="10" fillId="0" borderId="92" xfId="0" applyFont="1" applyBorder="1" applyAlignment="1">
      <alignment horizontal="center" vertical="top"/>
    </xf>
    <xf numFmtId="0" fontId="10" fillId="0" borderId="93" xfId="0" applyFont="1" applyBorder="1" applyAlignment="1">
      <alignment horizontal="center" vertical="top"/>
    </xf>
    <xf numFmtId="0" fontId="0" fillId="0" borderId="33" xfId="0" applyBorder="1" applyAlignment="1" applyProtection="1">
      <alignment horizontal="center" vertical="center"/>
      <protection hidden="1"/>
    </xf>
    <xf numFmtId="0" fontId="7" fillId="57" borderId="32" xfId="0" applyFont="1" applyFill="1" applyBorder="1" applyAlignment="1" applyProtection="1">
      <alignment horizontal="left" vertical="top" wrapText="1"/>
      <protection hidden="1"/>
    </xf>
    <xf numFmtId="0" fontId="7" fillId="57" borderId="27" xfId="0" applyFont="1" applyFill="1" applyBorder="1" applyAlignment="1" applyProtection="1">
      <alignment horizontal="left" vertical="top" wrapText="1"/>
      <protection hidden="1"/>
    </xf>
    <xf numFmtId="0" fontId="7" fillId="57" borderId="37" xfId="0" applyFont="1" applyFill="1" applyBorder="1" applyAlignment="1" applyProtection="1">
      <alignment horizontal="center" vertical="center" wrapText="1"/>
      <protection hidden="1"/>
    </xf>
    <xf numFmtId="0" fontId="10" fillId="0" borderId="33" xfId="0" applyFont="1" applyBorder="1" applyAlignment="1" applyProtection="1">
      <alignment horizontal="center" vertical="center"/>
      <protection hidden="1"/>
    </xf>
    <xf numFmtId="0" fontId="100" fillId="0" borderId="26" xfId="0" applyFont="1" applyBorder="1" applyAlignment="1" applyProtection="1">
      <alignment horizontal="left" vertical="top"/>
      <protection hidden="1"/>
    </xf>
    <xf numFmtId="0" fontId="100" fillId="0" borderId="30" xfId="0" applyFont="1" applyBorder="1" applyAlignment="1" applyProtection="1">
      <alignment horizontal="left" vertical="top"/>
      <protection hidden="1"/>
    </xf>
    <xf numFmtId="0" fontId="100" fillId="0" borderId="33" xfId="0" applyFont="1" applyBorder="1" applyAlignment="1" applyProtection="1">
      <alignment horizontal="center" vertical="center"/>
      <protection hidden="1"/>
    </xf>
    <xf numFmtId="0" fontId="47" fillId="0" borderId="26" xfId="2" applyFill="1" applyBorder="1" applyAlignment="1" applyProtection="1">
      <alignment horizontal="left" vertical="top" wrapText="1"/>
      <protection hidden="1"/>
    </xf>
    <xf numFmtId="0" fontId="47" fillId="0" borderId="30" xfId="2" applyFill="1" applyBorder="1" applyAlignment="1" applyProtection="1">
      <alignment horizontal="left" vertical="top" wrapText="1"/>
      <protection hidden="1"/>
    </xf>
    <xf numFmtId="0" fontId="47" fillId="0" borderId="33" xfId="2" applyFill="1" applyBorder="1" applyAlignment="1" applyProtection="1">
      <alignment horizontal="left" vertical="top" wrapText="1"/>
      <protection hidden="1"/>
    </xf>
    <xf numFmtId="0" fontId="51" fillId="0" borderId="26" xfId="8" applyFill="1" applyBorder="1" applyAlignment="1">
      <alignment horizontal="center" vertical="top"/>
    </xf>
    <xf numFmtId="0" fontId="51" fillId="0" borderId="30" xfId="8" applyFill="1" applyBorder="1" applyAlignment="1">
      <alignment horizontal="center" vertical="top"/>
    </xf>
    <xf numFmtId="0" fontId="51" fillId="0" borderId="33" xfId="8" applyFill="1" applyBorder="1" applyAlignment="1">
      <alignment horizontal="center" vertical="top"/>
    </xf>
    <xf numFmtId="0" fontId="0" fillId="0" borderId="26" xfId="0" applyBorder="1" applyAlignment="1"/>
    <xf numFmtId="0" fontId="0" fillId="0" borderId="30" xfId="0" applyBorder="1" applyAlignment="1"/>
    <xf numFmtId="0" fontId="10" fillId="0" borderId="33" xfId="0" applyFont="1" applyBorder="1" applyAlignment="1" applyProtection="1">
      <alignment horizontal="left" vertical="center"/>
      <protection hidden="1"/>
    </xf>
    <xf numFmtId="0" fontId="45" fillId="0" borderId="11" xfId="2" applyFont="1" applyFill="1" applyBorder="1" applyAlignment="1" applyProtection="1">
      <alignment horizontal="left" vertical="top" wrapText="1"/>
      <protection hidden="1"/>
    </xf>
    <xf numFmtId="0" fontId="45" fillId="0" borderId="31" xfId="2" applyFont="1" applyFill="1" applyBorder="1" applyAlignment="1" applyProtection="1">
      <alignment horizontal="left" vertical="top" wrapText="1"/>
      <protection hidden="1"/>
    </xf>
    <xf numFmtId="0" fontId="45" fillId="0" borderId="46" xfId="2" applyFont="1" applyFill="1" applyBorder="1" applyAlignment="1" applyProtection="1">
      <alignment horizontal="left" vertical="center" wrapText="1"/>
      <protection hidden="1"/>
    </xf>
    <xf numFmtId="0" fontId="0" fillId="0" borderId="80" xfId="0" applyBorder="1" applyAlignment="1">
      <alignment horizontal="left" vertical="top"/>
    </xf>
    <xf numFmtId="0" fontId="0" fillId="0" borderId="80" xfId="0" applyBorder="1" applyAlignment="1">
      <alignment horizontal="left"/>
    </xf>
    <xf numFmtId="0" fontId="47" fillId="26" borderId="26" xfId="2" applyFill="1" applyBorder="1" applyAlignment="1" applyProtection="1">
      <alignment horizontal="left" vertical="top" wrapText="1"/>
      <protection hidden="1"/>
    </xf>
    <xf numFmtId="0" fontId="47" fillId="26" borderId="30" xfId="2" applyFill="1" applyBorder="1" applyAlignment="1" applyProtection="1">
      <alignment horizontal="left" vertical="top" wrapText="1"/>
      <protection hidden="1"/>
    </xf>
    <xf numFmtId="0" fontId="47" fillId="26" borderId="33" xfId="2" applyFill="1" applyBorder="1" applyAlignment="1" applyProtection="1">
      <alignment horizontal="left" vertical="center" wrapText="1"/>
      <protection hidden="1"/>
    </xf>
    <xf numFmtId="0" fontId="7" fillId="26" borderId="0" xfId="0" applyFont="1" applyFill="1" applyAlignment="1">
      <alignment horizontal="center" vertical="center"/>
    </xf>
    <xf numFmtId="15" fontId="9" fillId="0" borderId="0" xfId="0" applyNumberFormat="1" applyFont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/>
    </xf>
    <xf numFmtId="0" fontId="7" fillId="9" borderId="11" xfId="0" applyFont="1" applyFill="1" applyBorder="1" applyAlignment="1">
      <alignment horizontal="center" vertical="center"/>
    </xf>
    <xf numFmtId="0" fontId="7" fillId="9" borderId="46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9" borderId="29" xfId="0" applyFont="1" applyFill="1" applyBorder="1" applyAlignment="1">
      <alignment horizontal="center" vertical="center"/>
    </xf>
    <xf numFmtId="0" fontId="7" fillId="9" borderId="32" xfId="0" applyFont="1" applyFill="1" applyBorder="1" applyAlignment="1">
      <alignment horizontal="center" vertical="center"/>
    </xf>
    <xf numFmtId="0" fontId="7" fillId="9" borderId="37" xfId="0" applyFont="1" applyFill="1" applyBorder="1" applyAlignment="1">
      <alignment horizontal="center" vertical="center"/>
    </xf>
    <xf numFmtId="0" fontId="10" fillId="5" borderId="26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0" fillId="26" borderId="26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26" borderId="33" xfId="0" applyFill="1" applyBorder="1" applyAlignment="1">
      <alignment horizontal="center" vertical="center"/>
    </xf>
    <xf numFmtId="0" fontId="7" fillId="9" borderId="30" xfId="0" applyFont="1" applyFill="1" applyBorder="1" applyAlignment="1">
      <alignment horizontal="center" vertical="center" wrapText="1"/>
    </xf>
    <xf numFmtId="0" fontId="7" fillId="26" borderId="30" xfId="0" applyFont="1" applyFill="1" applyBorder="1" applyAlignment="1">
      <alignment horizontal="center"/>
    </xf>
    <xf numFmtId="0" fontId="7" fillId="26" borderId="33" xfId="0" applyFont="1" applyFill="1" applyBorder="1" applyAlignment="1">
      <alignment horizontal="center"/>
    </xf>
    <xf numFmtId="0" fontId="86" fillId="0" borderId="26" xfId="0" applyFont="1" applyBorder="1" applyAlignment="1">
      <alignment horizontal="center"/>
    </xf>
    <xf numFmtId="0" fontId="86" fillId="0" borderId="33" xfId="0" applyFont="1" applyBorder="1" applyAlignment="1">
      <alignment horizontal="center"/>
    </xf>
    <xf numFmtId="0" fontId="7" fillId="9" borderId="11" xfId="0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0" fontId="7" fillId="9" borderId="28" xfId="0" applyFont="1" applyFill="1" applyBorder="1" applyAlignment="1">
      <alignment horizontal="center" vertical="center" wrapText="1"/>
    </xf>
    <xf numFmtId="0" fontId="7" fillId="9" borderId="29" xfId="0" applyFont="1" applyFill="1" applyBorder="1" applyAlignment="1">
      <alignment horizontal="center" vertical="center" wrapText="1"/>
    </xf>
    <xf numFmtId="0" fontId="7" fillId="9" borderId="32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0" borderId="26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9" borderId="26" xfId="0" applyFont="1" applyFill="1" applyBorder="1" applyAlignment="1">
      <alignment horizontal="center" vertical="center"/>
    </xf>
    <xf numFmtId="0" fontId="7" fillId="9" borderId="30" xfId="0" applyFont="1" applyFill="1" applyBorder="1" applyAlignment="1">
      <alignment horizontal="center" vertical="center"/>
    </xf>
    <xf numFmtId="0" fontId="7" fillId="9" borderId="33" xfId="0" applyFont="1" applyFill="1" applyBorder="1" applyAlignment="1">
      <alignment horizontal="center" vertical="center"/>
    </xf>
    <xf numFmtId="0" fontId="0" fillId="37" borderId="26" xfId="0" applyFill="1" applyBorder="1" applyAlignment="1">
      <alignment wrapText="1"/>
    </xf>
    <xf numFmtId="0" fontId="0" fillId="37" borderId="30" xfId="0" applyFill="1" applyBorder="1" applyAlignment="1">
      <alignment wrapText="1"/>
    </xf>
    <xf numFmtId="0" fontId="0" fillId="37" borderId="33" xfId="0" applyFill="1" applyBorder="1" applyAlignment="1">
      <alignment wrapText="1"/>
    </xf>
    <xf numFmtId="0" fontId="4" fillId="0" borderId="26" xfId="6" applyBorder="1" applyAlignment="1" applyProtection="1"/>
    <xf numFmtId="0" fontId="4" fillId="0" borderId="30" xfId="6" applyBorder="1" applyAlignment="1" applyProtection="1"/>
    <xf numFmtId="0" fontId="4" fillId="0" borderId="33" xfId="6" applyBorder="1" applyAlignment="1" applyProtection="1"/>
    <xf numFmtId="0" fontId="7" fillId="9" borderId="26" xfId="0" applyFont="1" applyFill="1" applyBorder="1" applyAlignment="1">
      <alignment horizontal="center"/>
    </xf>
    <xf numFmtId="0" fontId="7" fillId="9" borderId="30" xfId="0" applyFont="1" applyFill="1" applyBorder="1" applyAlignment="1">
      <alignment horizontal="center"/>
    </xf>
    <xf numFmtId="0" fontId="7" fillId="9" borderId="33" xfId="0" applyFont="1" applyFill="1" applyBorder="1" applyAlignment="1">
      <alignment horizontal="center"/>
    </xf>
    <xf numFmtId="0" fontId="10" fillId="9" borderId="26" xfId="0" applyFont="1" applyFill="1" applyBorder="1" applyAlignment="1">
      <alignment horizontal="center" vertical="center"/>
    </xf>
    <xf numFmtId="0" fontId="10" fillId="9" borderId="30" xfId="0" applyFont="1" applyFill="1" applyBorder="1" applyAlignment="1">
      <alignment horizontal="center" vertical="center"/>
    </xf>
    <xf numFmtId="0" fontId="10" fillId="9" borderId="33" xfId="0" applyFont="1" applyFill="1" applyBorder="1" applyAlignment="1">
      <alignment horizontal="center" vertical="center"/>
    </xf>
    <xf numFmtId="0" fontId="0" fillId="0" borderId="26" xfId="0" applyBorder="1" applyAlignment="1">
      <alignment wrapText="1"/>
    </xf>
    <xf numFmtId="0" fontId="0" fillId="0" borderId="30" xfId="0" applyBorder="1" applyAlignment="1">
      <alignment wrapText="1"/>
    </xf>
    <xf numFmtId="0" fontId="0" fillId="0" borderId="33" xfId="0" applyBorder="1" applyAlignment="1">
      <alignment wrapText="1"/>
    </xf>
    <xf numFmtId="0" fontId="10" fillId="0" borderId="26" xfId="0" applyFont="1" applyBorder="1" applyAlignment="1">
      <alignment wrapText="1"/>
    </xf>
    <xf numFmtId="0" fontId="38" fillId="0" borderId="26" xfId="0" applyFont="1" applyBorder="1" applyAlignment="1">
      <alignment horizontal="center" vertical="center"/>
    </xf>
    <xf numFmtId="0" fontId="38" fillId="0" borderId="30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8" fillId="26" borderId="4" xfId="0" applyFont="1" applyFill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8" fillId="26" borderId="53" xfId="0" applyFont="1" applyFill="1" applyBorder="1" applyAlignment="1">
      <alignment horizontal="center" vertical="center"/>
    </xf>
    <xf numFmtId="0" fontId="38" fillId="26" borderId="62" xfId="0" applyFont="1" applyFill="1" applyBorder="1" applyAlignment="1">
      <alignment horizontal="center" vertical="center"/>
    </xf>
    <xf numFmtId="0" fontId="38" fillId="26" borderId="24" xfId="0" applyFont="1" applyFill="1" applyBorder="1" applyAlignment="1">
      <alignment horizontal="center" vertical="center"/>
    </xf>
    <xf numFmtId="0" fontId="38" fillId="26" borderId="9" xfId="0" applyFont="1" applyFill="1" applyBorder="1" applyAlignment="1">
      <alignment horizontal="center" vertical="center"/>
    </xf>
    <xf numFmtId="0" fontId="38" fillId="26" borderId="16" xfId="0" applyFont="1" applyFill="1" applyBorder="1" applyAlignment="1">
      <alignment horizontal="center" vertical="center"/>
    </xf>
    <xf numFmtId="0" fontId="38" fillId="26" borderId="20" xfId="0" applyFont="1" applyFill="1" applyBorder="1" applyAlignment="1">
      <alignment horizontal="center" vertical="center"/>
    </xf>
    <xf numFmtId="0" fontId="75" fillId="21" borderId="11" xfId="2" applyFont="1" applyBorder="1" applyAlignment="1">
      <alignment horizontal="center" vertical="center"/>
    </xf>
    <xf numFmtId="0" fontId="75" fillId="21" borderId="31" xfId="2" applyFont="1" applyBorder="1" applyAlignment="1">
      <alignment horizontal="center" vertical="center"/>
    </xf>
    <xf numFmtId="0" fontId="75" fillId="21" borderId="46" xfId="2" applyFont="1" applyBorder="1" applyAlignment="1">
      <alignment horizontal="center" vertical="center"/>
    </xf>
    <xf numFmtId="0" fontId="75" fillId="21" borderId="28" xfId="2" applyFont="1" applyBorder="1" applyAlignment="1">
      <alignment horizontal="center" vertical="center"/>
    </xf>
    <xf numFmtId="0" fontId="75" fillId="21" borderId="0" xfId="2" applyFont="1" applyBorder="1" applyAlignment="1">
      <alignment horizontal="center" vertical="center"/>
    </xf>
    <xf numFmtId="0" fontId="75" fillId="21" borderId="29" xfId="2" applyFont="1" applyBorder="1" applyAlignment="1">
      <alignment horizontal="center" vertical="center"/>
    </xf>
    <xf numFmtId="0" fontId="75" fillId="21" borderId="32" xfId="2" applyFont="1" applyBorder="1" applyAlignment="1">
      <alignment horizontal="center" vertical="center"/>
    </xf>
    <xf numFmtId="0" fontId="75" fillId="21" borderId="27" xfId="2" applyFont="1" applyBorder="1" applyAlignment="1">
      <alignment horizontal="center" vertical="center"/>
    </xf>
    <xf numFmtId="0" fontId="75" fillId="21" borderId="37" xfId="2" applyFont="1" applyBorder="1" applyAlignment="1">
      <alignment horizontal="center" vertical="center"/>
    </xf>
    <xf numFmtId="0" fontId="38" fillId="26" borderId="1" xfId="0" applyFont="1" applyFill="1" applyBorder="1" applyAlignment="1">
      <alignment horizontal="center" vertical="center"/>
    </xf>
    <xf numFmtId="0" fontId="75" fillId="21" borderId="9" xfId="2" applyFont="1" applyBorder="1" applyAlignment="1">
      <alignment horizontal="center" vertical="center"/>
    </xf>
    <xf numFmtId="0" fontId="75" fillId="21" borderId="16" xfId="2" applyFont="1" applyBorder="1" applyAlignment="1">
      <alignment horizontal="center" vertical="center"/>
    </xf>
    <xf numFmtId="0" fontId="75" fillId="21" borderId="20" xfId="2" applyFont="1" applyBorder="1" applyAlignment="1">
      <alignment horizontal="center" vertical="center"/>
    </xf>
    <xf numFmtId="0" fontId="88" fillId="0" borderId="9" xfId="0" applyFont="1" applyBorder="1" applyAlignment="1">
      <alignment horizontal="center" vertical="center" wrapText="1"/>
    </xf>
    <xf numFmtId="0" fontId="88" fillId="0" borderId="16" xfId="0" applyFont="1" applyBorder="1" applyAlignment="1">
      <alignment horizontal="center" vertical="center" wrapText="1"/>
    </xf>
    <xf numFmtId="0" fontId="88" fillId="0" borderId="20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25" fillId="0" borderId="15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78" fillId="21" borderId="9" xfId="2" applyFont="1" applyBorder="1" applyAlignment="1">
      <alignment horizontal="center" vertical="center" wrapText="1"/>
    </xf>
    <xf numFmtId="0" fontId="78" fillId="21" borderId="16" xfId="2" applyFont="1" applyBorder="1" applyAlignment="1">
      <alignment horizontal="center" vertical="center" wrapText="1"/>
    </xf>
    <xf numFmtId="0" fontId="78" fillId="21" borderId="20" xfId="2" applyFont="1" applyBorder="1" applyAlignment="1">
      <alignment horizontal="center" vertical="center" wrapText="1"/>
    </xf>
    <xf numFmtId="0" fontId="87" fillId="26" borderId="9" xfId="0" applyFont="1" applyFill="1" applyBorder="1" applyAlignment="1">
      <alignment horizontal="center" vertical="center" wrapText="1"/>
    </xf>
    <xf numFmtId="0" fontId="87" fillId="26" borderId="16" xfId="0" applyFont="1" applyFill="1" applyBorder="1" applyAlignment="1">
      <alignment horizontal="center" vertical="center" wrapText="1"/>
    </xf>
    <xf numFmtId="0" fontId="87" fillId="26" borderId="20" xfId="0" applyFont="1" applyFill="1" applyBorder="1" applyAlignment="1">
      <alignment horizontal="center" vertical="center" wrapText="1"/>
    </xf>
    <xf numFmtId="0" fontId="39" fillId="33" borderId="9" xfId="0" applyFont="1" applyFill="1" applyBorder="1" applyAlignment="1">
      <alignment horizontal="center" vertical="center" wrapText="1"/>
    </xf>
    <xf numFmtId="0" fontId="39" fillId="33" borderId="16" xfId="0" applyFont="1" applyFill="1" applyBorder="1" applyAlignment="1">
      <alignment horizontal="center" vertical="center" wrapText="1"/>
    </xf>
    <xf numFmtId="0" fontId="39" fillId="33" borderId="20" xfId="0" applyFont="1" applyFill="1" applyBorder="1" applyAlignment="1">
      <alignment horizontal="center" vertical="center" wrapText="1"/>
    </xf>
    <xf numFmtId="0" fontId="89" fillId="21" borderId="48" xfId="2" applyFont="1" applyBorder="1" applyAlignment="1">
      <alignment horizontal="center" vertical="center" wrapText="1"/>
    </xf>
    <xf numFmtId="0" fontId="89" fillId="21" borderId="49" xfId="2" applyFont="1" applyBorder="1" applyAlignment="1">
      <alignment horizontal="center" vertical="center" wrapText="1"/>
    </xf>
    <xf numFmtId="0" fontId="40" fillId="26" borderId="6" xfId="0" applyFont="1" applyFill="1" applyBorder="1" applyAlignment="1">
      <alignment horizontal="center" vertical="center" wrapText="1"/>
    </xf>
    <xf numFmtId="0" fontId="40" fillId="26" borderId="48" xfId="0" applyFont="1" applyFill="1" applyBorder="1" applyAlignment="1">
      <alignment horizontal="center" vertical="center" wrapText="1"/>
    </xf>
    <xf numFmtId="0" fontId="40" fillId="26" borderId="49" xfId="0" applyFont="1" applyFill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 wrapText="1"/>
    </xf>
    <xf numFmtId="0" fontId="90" fillId="0" borderId="12" xfId="0" applyFont="1" applyBorder="1" applyAlignment="1">
      <alignment horizontal="center" vertical="center" wrapText="1"/>
    </xf>
    <xf numFmtId="0" fontId="90" fillId="0" borderId="15" xfId="0" applyFont="1" applyBorder="1" applyAlignment="1">
      <alignment horizontal="center" vertical="center" wrapText="1"/>
    </xf>
    <xf numFmtId="0" fontId="90" fillId="0" borderId="17" xfId="0" applyFont="1" applyBorder="1" applyAlignment="1">
      <alignment horizontal="center" vertical="center" wrapText="1"/>
    </xf>
    <xf numFmtId="0" fontId="91" fillId="24" borderId="1" xfId="7" applyFont="1" applyBorder="1" applyAlignment="1">
      <alignment horizontal="center" vertical="center" wrapText="1"/>
    </xf>
    <xf numFmtId="0" fontId="38" fillId="32" borderId="1" xfId="0" applyFont="1" applyFill="1" applyBorder="1" applyAlignment="1">
      <alignment horizontal="center" vertical="center"/>
    </xf>
    <xf numFmtId="0" fontId="38" fillId="33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0" fontId="0" fillId="0" borderId="3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9" xfId="0" applyBorder="1" applyAlignment="1">
      <alignment horizontal="left"/>
    </xf>
    <xf numFmtId="0" fontId="10" fillId="0" borderId="2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29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0" fillId="0" borderId="31" xfId="0" applyFont="1" applyBorder="1" applyAlignment="1">
      <alignment horizontal="left"/>
    </xf>
    <xf numFmtId="0" fontId="10" fillId="0" borderId="46" xfId="0" applyFont="1" applyBorder="1" applyAlignment="1">
      <alignment horizontal="left"/>
    </xf>
    <xf numFmtId="0" fontId="92" fillId="21" borderId="9" xfId="2" applyFont="1" applyBorder="1" applyAlignment="1">
      <alignment horizontal="center" vertical="center"/>
    </xf>
    <xf numFmtId="0" fontId="92" fillId="21" borderId="16" xfId="2" applyFont="1" applyBorder="1" applyAlignment="1">
      <alignment horizontal="center" vertical="center"/>
    </xf>
    <xf numFmtId="0" fontId="92" fillId="21" borderId="20" xfId="2" applyFont="1" applyBorder="1" applyAlignment="1">
      <alignment horizontal="center" vertical="center"/>
    </xf>
    <xf numFmtId="0" fontId="38" fillId="32" borderId="9" xfId="0" applyFont="1" applyFill="1" applyBorder="1" applyAlignment="1">
      <alignment horizontal="center" vertical="center"/>
    </xf>
    <xf numFmtId="0" fontId="38" fillId="32" borderId="16" xfId="0" applyFont="1" applyFill="1" applyBorder="1" applyAlignment="1">
      <alignment horizontal="center" vertical="center"/>
    </xf>
    <xf numFmtId="0" fontId="38" fillId="32" borderId="20" xfId="0" applyFont="1" applyFill="1" applyBorder="1" applyAlignment="1">
      <alignment horizontal="center" vertical="center"/>
    </xf>
    <xf numFmtId="0" fontId="38" fillId="32" borderId="41" xfId="0" applyFont="1" applyFill="1" applyBorder="1" applyAlignment="1">
      <alignment horizontal="center" vertical="center"/>
    </xf>
    <xf numFmtId="0" fontId="93" fillId="58" borderId="9" xfId="0" applyFont="1" applyFill="1" applyBorder="1" applyAlignment="1">
      <alignment horizontal="center" vertical="center" wrapText="1"/>
    </xf>
    <xf numFmtId="0" fontId="93" fillId="58" borderId="16" xfId="0" applyFont="1" applyFill="1" applyBorder="1" applyAlignment="1">
      <alignment horizontal="center" vertical="center" wrapText="1"/>
    </xf>
    <xf numFmtId="0" fontId="93" fillId="58" borderId="41" xfId="0" applyFont="1" applyFill="1" applyBorder="1" applyAlignment="1">
      <alignment horizontal="center" vertical="center" wrapText="1"/>
    </xf>
    <xf numFmtId="0" fontId="77" fillId="22" borderId="26" xfId="3" applyFont="1" applyBorder="1" applyAlignment="1"/>
    <xf numFmtId="0" fontId="77" fillId="22" borderId="30" xfId="3" applyFont="1" applyBorder="1" applyAlignment="1"/>
    <xf numFmtId="0" fontId="77" fillId="22" borderId="67" xfId="3" applyFont="1" applyBorder="1" applyAlignment="1"/>
    <xf numFmtId="15" fontId="38" fillId="26" borderId="9" xfId="0" applyNumberFormat="1" applyFont="1" applyFill="1" applyBorder="1" applyAlignment="1">
      <alignment horizontal="center" vertical="center"/>
    </xf>
    <xf numFmtId="15" fontId="38" fillId="26" borderId="16" xfId="0" applyNumberFormat="1" applyFont="1" applyFill="1" applyBorder="1" applyAlignment="1">
      <alignment horizontal="center" vertical="center"/>
    </xf>
    <xf numFmtId="15" fontId="38" fillId="26" borderId="20" xfId="0" applyNumberFormat="1" applyFont="1" applyFill="1" applyBorder="1" applyAlignment="1">
      <alignment horizontal="center" vertical="center"/>
    </xf>
    <xf numFmtId="15" fontId="38" fillId="26" borderId="41" xfId="0" applyNumberFormat="1" applyFont="1" applyFill="1" applyBorder="1" applyAlignment="1">
      <alignment horizontal="center" vertical="center"/>
    </xf>
    <xf numFmtId="0" fontId="93" fillId="58" borderId="9" xfId="0" applyFont="1" applyFill="1" applyBorder="1" applyAlignment="1">
      <alignment horizontal="center" vertical="center"/>
    </xf>
    <xf numFmtId="0" fontId="93" fillId="58" borderId="16" xfId="0" applyFont="1" applyFill="1" applyBorder="1" applyAlignment="1">
      <alignment horizontal="center" vertical="center"/>
    </xf>
    <xf numFmtId="0" fontId="93" fillId="58" borderId="20" xfId="0" applyFont="1" applyFill="1" applyBorder="1" applyAlignment="1">
      <alignment horizontal="center" vertical="center"/>
    </xf>
    <xf numFmtId="0" fontId="93" fillId="58" borderId="20" xfId="0" applyFont="1" applyFill="1" applyBorder="1" applyAlignment="1">
      <alignment horizontal="center" vertical="center" wrapText="1"/>
    </xf>
    <xf numFmtId="0" fontId="38" fillId="0" borderId="72" xfId="0" applyFont="1" applyBorder="1" applyAlignment="1">
      <alignment horizontal="center" vertical="center"/>
    </xf>
    <xf numFmtId="0" fontId="38" fillId="0" borderId="41" xfId="0" applyFont="1" applyBorder="1" applyAlignment="1">
      <alignment horizontal="center" vertical="center"/>
    </xf>
    <xf numFmtId="0" fontId="77" fillId="22" borderId="1" xfId="3" applyFont="1" applyBorder="1" applyAlignment="1"/>
    <xf numFmtId="0" fontId="77" fillId="22" borderId="4" xfId="3" applyFont="1" applyBorder="1" applyAlignment="1"/>
    <xf numFmtId="0" fontId="48" fillId="22" borderId="1" xfId="3" applyBorder="1" applyAlignment="1"/>
    <xf numFmtId="0" fontId="48" fillId="22" borderId="4" xfId="3" applyBorder="1" applyAlignment="1"/>
    <xf numFmtId="0" fontId="38" fillId="0" borderId="73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20" xfId="0" applyFont="1" applyBorder="1" applyAlignment="1">
      <alignment horizontal="center" vertical="center"/>
    </xf>
    <xf numFmtId="0" fontId="88" fillId="0" borderId="41" xfId="0" applyFont="1" applyBorder="1" applyAlignment="1">
      <alignment horizontal="center" vertical="center" wrapText="1"/>
    </xf>
    <xf numFmtId="0" fontId="122" fillId="26" borderId="4" xfId="0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6" xfId="0" applyBorder="1" applyAlignment="1">
      <alignment horizontal="center"/>
    </xf>
    <xf numFmtId="49" fontId="25" fillId="2" borderId="0" xfId="0" applyNumberFormat="1" applyFont="1" applyFill="1" applyAlignment="1" applyProtection="1">
      <alignment horizontal="center" vertical="center"/>
      <protection locked="0"/>
    </xf>
    <xf numFmtId="49" fontId="25" fillId="2" borderId="81" xfId="0" applyNumberFormat="1" applyFont="1" applyFill="1" applyBorder="1" applyAlignment="1" applyProtection="1">
      <alignment horizontal="center" vertical="center"/>
      <protection locked="0"/>
    </xf>
    <xf numFmtId="0" fontId="0" fillId="30" borderId="74" xfId="0" applyFill="1" applyBorder="1" applyAlignment="1">
      <alignment horizontal="center"/>
    </xf>
    <xf numFmtId="0" fontId="0" fillId="30" borderId="75" xfId="0" applyFill="1" applyBorder="1" applyAlignment="1">
      <alignment horizontal="center"/>
    </xf>
    <xf numFmtId="0" fontId="0" fillId="30" borderId="76" xfId="0" applyFill="1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30" borderId="74" xfId="0" applyFill="1" applyBorder="1" applyAlignment="1">
      <alignment horizontal="center" vertical="center"/>
    </xf>
    <xf numFmtId="0" fontId="0" fillId="30" borderId="75" xfId="0" applyFill="1" applyBorder="1" applyAlignment="1">
      <alignment horizontal="center" vertical="center"/>
    </xf>
    <xf numFmtId="0" fontId="0" fillId="30" borderId="76" xfId="0" applyFill="1" applyBorder="1" applyAlignment="1">
      <alignment horizontal="center" vertical="center"/>
    </xf>
    <xf numFmtId="9" fontId="56" fillId="0" borderId="54" xfId="0" applyNumberFormat="1" applyFont="1" applyBorder="1" applyAlignment="1">
      <alignment horizontal="center" vertical="center" wrapText="1"/>
    </xf>
    <xf numFmtId="9" fontId="56" fillId="5" borderId="54" xfId="0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14" fillId="16" borderId="11" xfId="0" applyFont="1" applyFill="1" applyBorder="1" applyAlignment="1">
      <alignment horizontal="center" vertical="center"/>
    </xf>
    <xf numFmtId="0" fontId="14" fillId="16" borderId="31" xfId="0" applyFont="1" applyFill="1" applyBorder="1" applyAlignment="1">
      <alignment horizontal="center" vertical="center"/>
    </xf>
    <xf numFmtId="0" fontId="14" fillId="16" borderId="46" xfId="0" applyFont="1" applyFill="1" applyBorder="1" applyAlignment="1">
      <alignment horizontal="center" vertical="center"/>
    </xf>
    <xf numFmtId="0" fontId="14" fillId="16" borderId="28" xfId="0" applyFont="1" applyFill="1" applyBorder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16" borderId="29" xfId="0" applyFont="1" applyFill="1" applyBorder="1" applyAlignment="1">
      <alignment horizontal="center" vertical="center"/>
    </xf>
    <xf numFmtId="0" fontId="14" fillId="16" borderId="32" xfId="0" applyFont="1" applyFill="1" applyBorder="1" applyAlignment="1">
      <alignment horizontal="center" vertical="center"/>
    </xf>
    <xf numFmtId="0" fontId="14" fillId="16" borderId="27" xfId="0" applyFont="1" applyFill="1" applyBorder="1" applyAlignment="1">
      <alignment horizontal="center" vertical="center"/>
    </xf>
    <xf numFmtId="0" fontId="14" fillId="16" borderId="37" xfId="0" applyFont="1" applyFill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0" fontId="0" fillId="0" borderId="16" xfId="0" applyNumberFormat="1" applyBorder="1" applyAlignment="1">
      <alignment horizontal="center" vertical="center"/>
    </xf>
    <xf numFmtId="10" fontId="0" fillId="0" borderId="20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0" fillId="0" borderId="26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165" fontId="0" fillId="0" borderId="9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10" fillId="0" borderId="26" xfId="0" applyFont="1" applyBorder="1" applyAlignment="1">
      <alignment horizontal="left" vertical="center" wrapText="1"/>
    </xf>
    <xf numFmtId="0" fontId="10" fillId="0" borderId="33" xfId="0" applyFont="1" applyBorder="1" applyAlignment="1">
      <alignment horizontal="left" vertical="center" wrapText="1"/>
    </xf>
    <xf numFmtId="0" fontId="0" fillId="0" borderId="1" xfId="0" applyBorder="1" applyAlignment="1">
      <alignment horizontal="left"/>
    </xf>
    <xf numFmtId="0" fontId="10" fillId="0" borderId="9" xfId="0" applyFont="1" applyBorder="1" applyAlignment="1">
      <alignment horizontal="left"/>
    </xf>
    <xf numFmtId="0" fontId="0" fillId="0" borderId="9" xfId="0" applyBorder="1" applyAlignment="1">
      <alignment horizontal="left"/>
    </xf>
    <xf numFmtId="0" fontId="10" fillId="0" borderId="9" xfId="0" applyFont="1" applyBorder="1" applyAlignment="1">
      <alignment wrapText="1"/>
    </xf>
    <xf numFmtId="0" fontId="0" fillId="0" borderId="16" xfId="0" applyBorder="1" applyAlignment="1">
      <alignment wrapText="1"/>
    </xf>
    <xf numFmtId="0" fontId="0" fillId="0" borderId="20" xfId="0" applyBorder="1" applyAlignment="1">
      <alignment wrapText="1"/>
    </xf>
    <xf numFmtId="49" fontId="3" fillId="5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16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20" xfId="0" applyNumberFormat="1" applyFont="1" applyFill="1" applyBorder="1" applyAlignment="1" applyProtection="1">
      <alignment horizontal="center" vertical="center" wrapText="1"/>
      <protection locked="0"/>
    </xf>
    <xf numFmtId="0" fontId="7" fillId="5" borderId="9" xfId="0" applyFont="1" applyFill="1" applyBorder="1" applyAlignment="1">
      <alignment horizontal="center" vertical="center"/>
    </xf>
    <xf numFmtId="0" fontId="7" fillId="26" borderId="20" xfId="0" applyFont="1" applyFill="1" applyBorder="1" applyAlignment="1">
      <alignment horizontal="center" vertical="center"/>
    </xf>
    <xf numFmtId="0" fontId="10" fillId="31" borderId="9" xfId="0" applyFont="1" applyFill="1" applyBorder="1" applyAlignment="1">
      <alignment horizontal="center" vertical="center"/>
    </xf>
    <xf numFmtId="0" fontId="10" fillId="31" borderId="20" xfId="0" applyFont="1" applyFill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  <xf numFmtId="0" fontId="10" fillId="31" borderId="16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26" borderId="16" xfId="0" applyFont="1" applyFill="1" applyBorder="1" applyAlignment="1">
      <alignment horizontal="center" vertical="center"/>
    </xf>
    <xf numFmtId="0" fontId="10" fillId="26" borderId="20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10" fillId="6" borderId="16" xfId="0" applyFont="1" applyFill="1" applyBorder="1" applyAlignment="1">
      <alignment horizontal="center" vertical="center"/>
    </xf>
    <xf numFmtId="0" fontId="10" fillId="6" borderId="20" xfId="0" applyFont="1" applyFill="1" applyBorder="1" applyAlignment="1">
      <alignment horizontal="center" vertical="center"/>
    </xf>
    <xf numFmtId="49" fontId="3" fillId="5" borderId="9" xfId="0" applyNumberFormat="1" applyFont="1" applyFill="1" applyBorder="1" applyAlignment="1">
      <alignment horizontal="center" vertical="center" wrapText="1"/>
    </xf>
    <xf numFmtId="49" fontId="3" fillId="5" borderId="20" xfId="0" applyNumberFormat="1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10" borderId="26" xfId="0" applyFont="1" applyFill="1" applyBorder="1" applyAlignment="1">
      <alignment horizontal="center"/>
    </xf>
    <xf numFmtId="0" fontId="3" fillId="10" borderId="30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2" fillId="5" borderId="30" xfId="0" applyFont="1" applyFill="1" applyBorder="1" applyAlignment="1">
      <alignment horizontal="left"/>
    </xf>
    <xf numFmtId="0" fontId="2" fillId="5" borderId="33" xfId="0" applyFont="1" applyFill="1" applyBorder="1" applyAlignment="1">
      <alignment horizontal="left"/>
    </xf>
    <xf numFmtId="0" fontId="3" fillId="33" borderId="26" xfId="0" applyFont="1" applyFill="1" applyBorder="1" applyAlignment="1">
      <alignment horizontal="center"/>
    </xf>
    <xf numFmtId="0" fontId="3" fillId="33" borderId="30" xfId="0" applyFont="1" applyFill="1" applyBorder="1" applyAlignment="1">
      <alignment horizontal="center"/>
    </xf>
    <xf numFmtId="0" fontId="3" fillId="37" borderId="26" xfId="0" applyFont="1" applyFill="1" applyBorder="1" applyAlignment="1">
      <alignment horizontal="center"/>
    </xf>
    <xf numFmtId="0" fontId="3" fillId="37" borderId="30" xfId="0" applyFont="1" applyFill="1" applyBorder="1" applyAlignment="1">
      <alignment horizontal="center"/>
    </xf>
    <xf numFmtId="0" fontId="0" fillId="37" borderId="33" xfId="0" applyFill="1" applyBorder="1" applyAlignment="1">
      <alignment horizontal="center"/>
    </xf>
    <xf numFmtId="0" fontId="0" fillId="0" borderId="30" xfId="0" applyBorder="1" applyAlignment="1">
      <alignment horizontal="left"/>
    </xf>
    <xf numFmtId="0" fontId="0" fillId="0" borderId="33" xfId="0" applyBorder="1" applyAlignment="1">
      <alignment horizontal="left"/>
    </xf>
    <xf numFmtId="0" fontId="3" fillId="17" borderId="26" xfId="0" applyFont="1" applyFill="1" applyBorder="1" applyAlignment="1">
      <alignment horizontal="center"/>
    </xf>
    <xf numFmtId="0" fontId="3" fillId="17" borderId="30" xfId="0" applyFont="1" applyFill="1" applyBorder="1" applyAlignment="1">
      <alignment horizontal="center"/>
    </xf>
    <xf numFmtId="0" fontId="3" fillId="61" borderId="26" xfId="0" applyFont="1" applyFill="1" applyBorder="1" applyAlignment="1">
      <alignment horizontal="center"/>
    </xf>
    <xf numFmtId="0" fontId="3" fillId="61" borderId="30" xfId="0" applyFont="1" applyFill="1" applyBorder="1" applyAlignment="1">
      <alignment horizontal="center"/>
    </xf>
    <xf numFmtId="0" fontId="0" fillId="61" borderId="33" xfId="0" applyFill="1" applyBorder="1" applyAlignment="1">
      <alignment horizontal="center"/>
    </xf>
    <xf numFmtId="0" fontId="3" fillId="62" borderId="26" xfId="0" applyFont="1" applyFill="1" applyBorder="1" applyAlignment="1">
      <alignment horizontal="center"/>
    </xf>
    <xf numFmtId="0" fontId="3" fillId="62" borderId="30" xfId="0" applyFont="1" applyFill="1" applyBorder="1" applyAlignment="1">
      <alignment horizontal="center"/>
    </xf>
    <xf numFmtId="165" fontId="0" fillId="0" borderId="26" xfId="0" applyNumberFormat="1" applyBorder="1" applyAlignment="1">
      <alignment horizontal="center" vertical="center"/>
    </xf>
    <xf numFmtId="165" fontId="0" fillId="0" borderId="33" xfId="0" applyNumberFormat="1" applyBorder="1" applyAlignment="1">
      <alignment horizontal="center" vertical="center"/>
    </xf>
    <xf numFmtId="49" fontId="3" fillId="5" borderId="16" xfId="0" applyNumberFormat="1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28" borderId="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31" borderId="9" xfId="0" applyFill="1" applyBorder="1" applyAlignment="1">
      <alignment horizontal="center" vertical="center"/>
    </xf>
    <xf numFmtId="0" fontId="0" fillId="31" borderId="20" xfId="0" applyFill="1" applyBorder="1" applyAlignment="1">
      <alignment horizontal="center" vertical="center"/>
    </xf>
    <xf numFmtId="0" fontId="3" fillId="18" borderId="26" xfId="0" applyFont="1" applyFill="1" applyBorder="1" applyAlignment="1">
      <alignment horizontal="center"/>
    </xf>
    <xf numFmtId="0" fontId="3" fillId="18" borderId="30" xfId="0" applyFont="1" applyFill="1" applyBorder="1" applyAlignment="1">
      <alignment horizontal="center"/>
    </xf>
    <xf numFmtId="49" fontId="3" fillId="5" borderId="9" xfId="0" applyNumberFormat="1" applyFont="1" applyFill="1" applyBorder="1" applyAlignment="1">
      <alignment horizontal="left" vertical="center" wrapText="1"/>
    </xf>
    <xf numFmtId="49" fontId="3" fillId="5" borderId="20" xfId="0" applyNumberFormat="1" applyFont="1" applyFill="1" applyBorder="1" applyAlignment="1">
      <alignment horizontal="left" vertical="center" wrapText="1"/>
    </xf>
    <xf numFmtId="0" fontId="10" fillId="63" borderId="58" xfId="9" applyFill="1" applyBorder="1" applyAlignment="1">
      <alignment horizontal="center"/>
    </xf>
    <xf numFmtId="0" fontId="10" fillId="63" borderId="44" xfId="9" applyFill="1" applyBorder="1" applyAlignment="1">
      <alignment horizontal="center"/>
    </xf>
    <xf numFmtId="0" fontId="10" fillId="63" borderId="45" xfId="9" applyFill="1" applyBorder="1" applyAlignment="1">
      <alignment horizontal="center"/>
    </xf>
    <xf numFmtId="0" fontId="10" fillId="33" borderId="58" xfId="9" applyFill="1" applyBorder="1" applyAlignment="1">
      <alignment horizontal="center"/>
    </xf>
    <xf numFmtId="0" fontId="10" fillId="33" borderId="44" xfId="9" applyFill="1" applyBorder="1" applyAlignment="1">
      <alignment horizontal="center"/>
    </xf>
    <xf numFmtId="0" fontId="10" fillId="33" borderId="45" xfId="9" applyFill="1" applyBorder="1" applyAlignment="1">
      <alignment horizontal="center"/>
    </xf>
    <xf numFmtId="0" fontId="10" fillId="37" borderId="58" xfId="9" applyFill="1" applyBorder="1" applyAlignment="1">
      <alignment horizontal="center"/>
    </xf>
    <xf numFmtId="0" fontId="10" fillId="37" borderId="44" xfId="9" applyFill="1" applyBorder="1" applyAlignment="1">
      <alignment horizontal="center"/>
    </xf>
    <xf numFmtId="0" fontId="10" fillId="37" borderId="45" xfId="9" applyFill="1" applyBorder="1" applyAlignment="1">
      <alignment horizontal="center"/>
    </xf>
    <xf numFmtId="0" fontId="10" fillId="0" borderId="58" xfId="9" applyBorder="1" applyAlignment="1">
      <alignment horizontal="center"/>
    </xf>
    <xf numFmtId="0" fontId="10" fillId="0" borderId="44" xfId="9" applyBorder="1" applyAlignment="1">
      <alignment horizontal="center"/>
    </xf>
    <xf numFmtId="0" fontId="10" fillId="0" borderId="45" xfId="9" applyBorder="1" applyAlignment="1">
      <alignment horizontal="center"/>
    </xf>
    <xf numFmtId="0" fontId="10" fillId="33" borderId="1" xfId="9" applyFill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6" fillId="9" borderId="77" xfId="0" applyFont="1" applyFill="1" applyBorder="1" applyAlignment="1">
      <alignment horizontal="center"/>
    </xf>
    <xf numFmtId="0" fontId="6" fillId="9" borderId="78" xfId="0" applyFont="1" applyFill="1" applyBorder="1" applyAlignment="1">
      <alignment horizontal="center"/>
    </xf>
    <xf numFmtId="0" fontId="6" fillId="9" borderId="79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16" xfId="0" applyFont="1" applyFill="1" applyBorder="1" applyAlignment="1">
      <alignment horizontal="center" vertical="center" wrapText="1"/>
    </xf>
    <xf numFmtId="0" fontId="8" fillId="6" borderId="20" xfId="0" applyFont="1" applyFill="1" applyBorder="1" applyAlignment="1">
      <alignment horizontal="center" vertical="center" wrapText="1"/>
    </xf>
    <xf numFmtId="0" fontId="0" fillId="9" borderId="30" xfId="0" applyFill="1" applyBorder="1" applyAlignment="1">
      <alignment horizontal="center" vertical="center"/>
    </xf>
    <xf numFmtId="0" fontId="10" fillId="0" borderId="26" xfId="0" applyFont="1" applyBorder="1" applyAlignment="1"/>
    <xf numFmtId="0" fontId="10" fillId="0" borderId="30" xfId="0" applyFont="1" applyBorder="1" applyAlignment="1"/>
    <xf numFmtId="0" fontId="10" fillId="0" borderId="33" xfId="0" applyFont="1" applyBorder="1" applyAlignment="1"/>
    <xf numFmtId="0" fontId="8" fillId="4" borderId="9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20" xfId="0" applyFont="1" applyFill="1" applyBorder="1" applyAlignment="1">
      <alignment horizontal="center" vertical="center" wrapText="1"/>
    </xf>
    <xf numFmtId="9" fontId="8" fillId="5" borderId="9" xfId="0" applyNumberFormat="1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8" fillId="5" borderId="16" xfId="0" applyFont="1" applyFill="1" applyBorder="1" applyAlignment="1">
      <alignment horizontal="center" vertical="center" wrapText="1"/>
    </xf>
    <xf numFmtId="0" fontId="8" fillId="5" borderId="20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0" fontId="10" fillId="26" borderId="16" xfId="0" applyFont="1" applyFill="1" applyBorder="1" applyAlignment="1">
      <alignment horizontal="center" vertical="center" wrapText="1"/>
    </xf>
    <xf numFmtId="0" fontId="10" fillId="26" borderId="20" xfId="0" applyFont="1" applyFill="1" applyBorder="1" applyAlignment="1">
      <alignment horizontal="center" vertical="center" wrapText="1"/>
    </xf>
    <xf numFmtId="0" fontId="0" fillId="26" borderId="16" xfId="0" applyFill="1" applyBorder="1" applyAlignment="1">
      <alignment horizontal="center" vertical="center" wrapText="1"/>
    </xf>
    <xf numFmtId="0" fontId="0" fillId="26" borderId="20" xfId="0" applyFill="1" applyBorder="1" applyAlignment="1">
      <alignment horizontal="center" vertical="center" wrapText="1"/>
    </xf>
    <xf numFmtId="0" fontId="7" fillId="9" borderId="31" xfId="0" applyFont="1" applyFill="1" applyBorder="1" applyAlignment="1">
      <alignment horizontal="center" vertical="center" wrapText="1"/>
    </xf>
    <xf numFmtId="0" fontId="7" fillId="9" borderId="27" xfId="0" applyFont="1" applyFill="1" applyBorder="1" applyAlignment="1">
      <alignment horizontal="center" vertical="center" wrapText="1"/>
    </xf>
    <xf numFmtId="0" fontId="0" fillId="9" borderId="31" xfId="0" applyFill="1" applyBorder="1" applyAlignment="1">
      <alignment horizontal="center" vertical="center"/>
    </xf>
    <xf numFmtId="0" fontId="0" fillId="9" borderId="46" xfId="0" applyFill="1" applyBorder="1" applyAlignment="1">
      <alignment horizontal="center" vertical="center"/>
    </xf>
    <xf numFmtId="0" fontId="0" fillId="9" borderId="32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 vertical="center"/>
    </xf>
    <xf numFmtId="0" fontId="0" fillId="9" borderId="37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7" fillId="0" borderId="26" xfId="0" applyFont="1" applyBorder="1" applyAlignment="1">
      <alignment wrapText="1"/>
    </xf>
    <xf numFmtId="0" fontId="7" fillId="0" borderId="26" xfId="0" applyFont="1" applyBorder="1" applyAlignment="1"/>
    <xf numFmtId="0" fontId="0" fillId="0" borderId="4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12">
    <cellStyle name="Accent2" xfId="1" builtinId="33"/>
    <cellStyle name="Bad" xfId="2" builtinId="27"/>
    <cellStyle name="Check Cell" xfId="3" builtinId="23"/>
    <cellStyle name="Currency" xfId="4" builtinId="4"/>
    <cellStyle name="Good" xfId="5" builtinId="26"/>
    <cellStyle name="Hyperlink" xfId="6" builtinId="8"/>
    <cellStyle name="Input" xfId="7" builtinId="20"/>
    <cellStyle name="Neutral" xfId="8" builtinId="28"/>
    <cellStyle name="Normal" xfId="0" builtinId="0"/>
    <cellStyle name="Normal 2" xfId="9" xr:uid="{B0B422EE-B363-44B3-954E-2281C58E5470}"/>
    <cellStyle name="Normal_Sheet1" xfId="10" xr:uid="{8447F479-4DB1-4770-B69D-788225B259C4}"/>
    <cellStyle name="Percent" xfId="11" builtinId="5"/>
  </cellStyles>
  <dxfs count="243">
    <dxf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48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48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28F30D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indexed="10"/>
        </patternFill>
      </fill>
    </dxf>
    <dxf>
      <fill>
        <patternFill>
          <bgColor rgb="FF28F30D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8F30D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8F30D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8F30D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rgb="FF28F30D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8F30D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8F30D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8F30D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yyyy/mm/dd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yyyy/mm/dd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ont>
        <color theme="1"/>
      </font>
      <fill>
        <patternFill>
          <bgColor rgb="FFFF7C8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rgb="FF9C0006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fgColor theme="6" tint="0.59999389629810485"/>
          <bgColor theme="6" tint="0.59999389629810485"/>
        </patternFill>
      </fill>
    </dxf>
    <dxf>
      <fill>
        <patternFill patternType="solid">
          <fgColor theme="6" tint="0.59999389629810485"/>
          <bgColor theme="0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  <border>
        <top style="thick">
          <color theme="0"/>
        </top>
      </border>
    </dxf>
    <dxf>
      <font>
        <b/>
        <i val="0"/>
        <color theme="1"/>
      </font>
      <fill>
        <gradientFill degree="90">
          <stop position="0">
            <color rgb="FFFFC000"/>
          </stop>
          <stop position="1">
            <color rgb="FFF2B800"/>
          </stop>
        </gradient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6" tint="0.79992065187536243"/>
          <bgColor rgb="FFF2F2F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ight Gray" pivot="0" count="7" xr9:uid="{2AFC9777-040C-4A1E-9D1C-060E298F31ED}">
      <tableStyleElement type="wholeTable" dxfId="242"/>
      <tableStyleElement type="headerRow" dxfId="241"/>
      <tableStyleElement type="totalRow" dxfId="240"/>
      <tableStyleElement type="firstColumn" dxfId="239"/>
      <tableStyleElement type="lastColumn" dxfId="238"/>
      <tableStyleElement type="firstRowStripe" dxfId="237"/>
      <tableStyleElement type="firstColumnStripe" dxfId="2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worksheet" Target="worksheets/sheet17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6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'ATGL Tracking'!$G$1</c:f>
              <c:strCache>
                <c:ptCount val="1"/>
                <c:pt idx="0">
                  <c:v>Hours/date due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multiLvlStrRef>
              <c:f>'ATGL Tracking'!$A$2:$F$16</c:f>
              <c:multiLvlStrCache>
                <c:ptCount val="15"/>
                <c:lvl>
                  <c:pt idx="0">
                    <c:v>450h</c:v>
                  </c:pt>
                  <c:pt idx="1">
                    <c:v>5000h</c:v>
                  </c:pt>
                  <c:pt idx="2">
                    <c:v>5 year</c:v>
                  </c:pt>
                  <c:pt idx="4">
                    <c:v>450h</c:v>
                  </c:pt>
                  <c:pt idx="5">
                    <c:v>5000h</c:v>
                  </c:pt>
                  <c:pt idx="6">
                    <c:v>5 year</c:v>
                  </c:pt>
                  <c:pt idx="8">
                    <c:v>450h</c:v>
                  </c:pt>
                  <c:pt idx="9">
                    <c:v>5000h</c:v>
                  </c:pt>
                  <c:pt idx="10">
                    <c:v>5 year</c:v>
                  </c:pt>
                  <c:pt idx="12">
                    <c:v>450h</c:v>
                  </c:pt>
                  <c:pt idx="13">
                    <c:v>5000h</c:v>
                  </c:pt>
                  <c:pt idx="14">
                    <c:v>5 year</c:v>
                  </c:pt>
                </c:lvl>
                <c:lvl>
                  <c:pt idx="0">
                    <c:v>58.77</c:v>
                  </c:pt>
                  <c:pt idx="4">
                    <c:v>37.9</c:v>
                  </c:pt>
                  <c:pt idx="8">
                    <c:v>3.91</c:v>
                  </c:pt>
                  <c:pt idx="12">
                    <c:v>13.79</c:v>
                  </c:pt>
                </c:lvl>
                <c:lvl>
                  <c:pt idx="0">
                    <c:v>1 HGR</c:v>
                  </c:pt>
                  <c:pt idx="4">
                    <c:v>1 HGR</c:v>
                  </c:pt>
                  <c:pt idx="8">
                    <c:v>1 HGR</c:v>
                  </c:pt>
                  <c:pt idx="12">
                    <c:v>7 HGR</c:v>
                  </c:pt>
                </c:lvl>
                <c:lvl>
                  <c:pt idx="0">
                    <c:v>S</c:v>
                  </c:pt>
                  <c:pt idx="4">
                    <c:v>U/S</c:v>
                  </c:pt>
                  <c:pt idx="8">
                    <c:v>S</c:v>
                  </c:pt>
                  <c:pt idx="12">
                    <c:v>S</c:v>
                  </c:pt>
                </c:lvl>
                <c:lvl>
                  <c:pt idx="0">
                    <c:v>Ser #005</c:v>
                  </c:pt>
                  <c:pt idx="4">
                    <c:v>Ser #006</c:v>
                  </c:pt>
                  <c:pt idx="8">
                    <c:v>Ser #007</c:v>
                  </c:pt>
                  <c:pt idx="12">
                    <c:v>Ser #008</c:v>
                  </c:pt>
                </c:lvl>
              </c:multiLvlStrCache>
            </c:multiLvlStrRef>
          </c:cat>
          <c:val>
            <c:numRef>
              <c:f>'ATGL Tracking'!$G$2:$G$16</c:f>
              <c:numCache>
                <c:formatCode>General</c:formatCode>
                <c:ptCount val="15"/>
                <c:pt idx="0">
                  <c:v>0</c:v>
                </c:pt>
                <c:pt idx="1">
                  <c:v>5000</c:v>
                </c:pt>
                <c:pt idx="4">
                  <c:v>450</c:v>
                </c:pt>
                <c:pt idx="5">
                  <c:v>5000</c:v>
                </c:pt>
                <c:pt idx="8">
                  <c:v>0</c:v>
                </c:pt>
                <c:pt idx="9">
                  <c:v>5000</c:v>
                </c:pt>
                <c:pt idx="12">
                  <c:v>0</c:v>
                </c:pt>
                <c:pt idx="13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5-4DA5-A56C-55BE476F249F}"/>
            </c:ext>
          </c:extLst>
        </c:ser>
        <c:ser>
          <c:idx val="1"/>
          <c:order val="1"/>
          <c:tx>
            <c:strRef>
              <c:f>'ATGL Tracking'!$H$1</c:f>
              <c:strCache>
                <c:ptCount val="1"/>
                <c:pt idx="0">
                  <c:v>Hours/days remaining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multiLvlStrRef>
              <c:f>'ATGL Tracking'!$A$2:$F$16</c:f>
              <c:multiLvlStrCache>
                <c:ptCount val="15"/>
                <c:lvl>
                  <c:pt idx="0">
                    <c:v>450h</c:v>
                  </c:pt>
                  <c:pt idx="1">
                    <c:v>5000h</c:v>
                  </c:pt>
                  <c:pt idx="2">
                    <c:v>5 year</c:v>
                  </c:pt>
                  <c:pt idx="4">
                    <c:v>450h</c:v>
                  </c:pt>
                  <c:pt idx="5">
                    <c:v>5000h</c:v>
                  </c:pt>
                  <c:pt idx="6">
                    <c:v>5 year</c:v>
                  </c:pt>
                  <c:pt idx="8">
                    <c:v>450h</c:v>
                  </c:pt>
                  <c:pt idx="9">
                    <c:v>5000h</c:v>
                  </c:pt>
                  <c:pt idx="10">
                    <c:v>5 year</c:v>
                  </c:pt>
                  <c:pt idx="12">
                    <c:v>450h</c:v>
                  </c:pt>
                  <c:pt idx="13">
                    <c:v>5000h</c:v>
                  </c:pt>
                  <c:pt idx="14">
                    <c:v>5 year</c:v>
                  </c:pt>
                </c:lvl>
                <c:lvl>
                  <c:pt idx="0">
                    <c:v>58.77</c:v>
                  </c:pt>
                  <c:pt idx="4">
                    <c:v>37.9</c:v>
                  </c:pt>
                  <c:pt idx="8">
                    <c:v>3.91</c:v>
                  </c:pt>
                  <c:pt idx="12">
                    <c:v>13.79</c:v>
                  </c:pt>
                </c:lvl>
                <c:lvl>
                  <c:pt idx="0">
                    <c:v>1 HGR</c:v>
                  </c:pt>
                  <c:pt idx="4">
                    <c:v>1 HGR</c:v>
                  </c:pt>
                  <c:pt idx="8">
                    <c:v>1 HGR</c:v>
                  </c:pt>
                  <c:pt idx="12">
                    <c:v>7 HGR</c:v>
                  </c:pt>
                </c:lvl>
                <c:lvl>
                  <c:pt idx="0">
                    <c:v>S</c:v>
                  </c:pt>
                  <c:pt idx="4">
                    <c:v>U/S</c:v>
                  </c:pt>
                  <c:pt idx="8">
                    <c:v>S</c:v>
                  </c:pt>
                  <c:pt idx="12">
                    <c:v>S</c:v>
                  </c:pt>
                </c:lvl>
                <c:lvl>
                  <c:pt idx="0">
                    <c:v>Ser #005</c:v>
                  </c:pt>
                  <c:pt idx="4">
                    <c:v>Ser #006</c:v>
                  </c:pt>
                  <c:pt idx="8">
                    <c:v>Ser #007</c:v>
                  </c:pt>
                  <c:pt idx="12">
                    <c:v>Ser #008</c:v>
                  </c:pt>
                </c:lvl>
              </c:multiLvlStrCache>
            </c:multiLvlStrRef>
          </c:cat>
          <c:val>
            <c:numRef>
              <c:f>'ATGL Tracking'!$H$2:$H$16</c:f>
              <c:numCache>
                <c:formatCode>General</c:formatCode>
                <c:ptCount val="15"/>
                <c:pt idx="0">
                  <c:v>0</c:v>
                </c:pt>
                <c:pt idx="1">
                  <c:v>4941.2299999999996</c:v>
                </c:pt>
                <c:pt idx="4">
                  <c:v>412.1</c:v>
                </c:pt>
                <c:pt idx="5">
                  <c:v>4962.1000000000004</c:v>
                </c:pt>
                <c:pt idx="8">
                  <c:v>0</c:v>
                </c:pt>
                <c:pt idx="9">
                  <c:v>4996.09</c:v>
                </c:pt>
                <c:pt idx="12">
                  <c:v>0</c:v>
                </c:pt>
                <c:pt idx="13">
                  <c:v>4986.21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85-4DA5-A56C-55BE476F249F}"/>
            </c:ext>
          </c:extLst>
        </c:ser>
        <c:ser>
          <c:idx val="2"/>
          <c:order val="2"/>
          <c:tx>
            <c:strRef>
              <c:f>'ATGL Tracking'!$L$1</c:f>
              <c:strCache>
                <c:ptCount val="1"/>
                <c:pt idx="0">
                  <c:v>Comments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multiLvlStrRef>
              <c:f>'ATGL Tracking'!$A$2:$F$16</c:f>
              <c:multiLvlStrCache>
                <c:ptCount val="15"/>
                <c:lvl>
                  <c:pt idx="0">
                    <c:v>450h</c:v>
                  </c:pt>
                  <c:pt idx="1">
                    <c:v>5000h</c:v>
                  </c:pt>
                  <c:pt idx="2">
                    <c:v>5 year</c:v>
                  </c:pt>
                  <c:pt idx="4">
                    <c:v>450h</c:v>
                  </c:pt>
                  <c:pt idx="5">
                    <c:v>5000h</c:v>
                  </c:pt>
                  <c:pt idx="6">
                    <c:v>5 year</c:v>
                  </c:pt>
                  <c:pt idx="8">
                    <c:v>450h</c:v>
                  </c:pt>
                  <c:pt idx="9">
                    <c:v>5000h</c:v>
                  </c:pt>
                  <c:pt idx="10">
                    <c:v>5 year</c:v>
                  </c:pt>
                  <c:pt idx="12">
                    <c:v>450h</c:v>
                  </c:pt>
                  <c:pt idx="13">
                    <c:v>5000h</c:v>
                  </c:pt>
                  <c:pt idx="14">
                    <c:v>5 year</c:v>
                  </c:pt>
                </c:lvl>
                <c:lvl>
                  <c:pt idx="0">
                    <c:v>58.77</c:v>
                  </c:pt>
                  <c:pt idx="4">
                    <c:v>37.9</c:v>
                  </c:pt>
                  <c:pt idx="8">
                    <c:v>3.91</c:v>
                  </c:pt>
                  <c:pt idx="12">
                    <c:v>13.79</c:v>
                  </c:pt>
                </c:lvl>
                <c:lvl>
                  <c:pt idx="0">
                    <c:v>1 HGR</c:v>
                  </c:pt>
                  <c:pt idx="4">
                    <c:v>1 HGR</c:v>
                  </c:pt>
                  <c:pt idx="8">
                    <c:v>1 HGR</c:v>
                  </c:pt>
                  <c:pt idx="12">
                    <c:v>7 HGR</c:v>
                  </c:pt>
                </c:lvl>
                <c:lvl>
                  <c:pt idx="0">
                    <c:v>S</c:v>
                  </c:pt>
                  <c:pt idx="4">
                    <c:v>U/S</c:v>
                  </c:pt>
                  <c:pt idx="8">
                    <c:v>S</c:v>
                  </c:pt>
                  <c:pt idx="12">
                    <c:v>S</c:v>
                  </c:pt>
                </c:lvl>
                <c:lvl>
                  <c:pt idx="0">
                    <c:v>Ser #005</c:v>
                  </c:pt>
                  <c:pt idx="4">
                    <c:v>Ser #006</c:v>
                  </c:pt>
                  <c:pt idx="8">
                    <c:v>Ser #007</c:v>
                  </c:pt>
                  <c:pt idx="12">
                    <c:v>Ser #008</c:v>
                  </c:pt>
                </c:lvl>
              </c:multiLvlStrCache>
            </c:multiLvlStrRef>
          </c:cat>
          <c:val>
            <c:numRef>
              <c:f>'ATGL Tracking'!$L$2:$L$16</c:f>
              <c:numCache>
                <c:formatCode>General</c:formatCode>
                <c:ptCount val="15"/>
                <c:pt idx="0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85-4DA5-A56C-55BE476F2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7464240"/>
        <c:axId val="1"/>
      </c:barChart>
      <c:catAx>
        <c:axId val="70746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074642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1650165016501648"/>
          <c:y val="0.95444191343963558"/>
          <c:w val="0.46039603960396047"/>
          <c:h val="4.555808656036441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05E7793-351A-4131-BAAD-89529DC5F795}">
  <sheetPr codeName="Chart1"/>
  <sheetViews>
    <sheetView zoomScale="111" workbookViewId="0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60</xdr:row>
      <xdr:rowOff>9525</xdr:rowOff>
    </xdr:from>
    <xdr:to>
      <xdr:col>11</xdr:col>
      <xdr:colOff>676275</xdr:colOff>
      <xdr:row>60</xdr:row>
      <xdr:rowOff>9525</xdr:rowOff>
    </xdr:to>
    <xdr:sp macro="" textlink="">
      <xdr:nvSpPr>
        <xdr:cNvPr id="643270" name="Line 61">
          <a:extLst>
            <a:ext uri="{FF2B5EF4-FFF2-40B4-BE49-F238E27FC236}">
              <a16:creationId xmlns:a16="http://schemas.microsoft.com/office/drawing/2014/main" id="{976BDB0E-09FD-2A7B-17B3-CA835F9F00A8}"/>
            </a:ext>
          </a:extLst>
        </xdr:cNvPr>
        <xdr:cNvSpPr>
          <a:spLocks noChangeShapeType="1"/>
        </xdr:cNvSpPr>
      </xdr:nvSpPr>
      <xdr:spPr bwMode="auto">
        <a:xfrm flipH="1">
          <a:off x="12401550" y="9867900"/>
          <a:ext cx="3257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752475</xdr:colOff>
      <xdr:row>60</xdr:row>
      <xdr:rowOff>9525</xdr:rowOff>
    </xdr:from>
    <xdr:to>
      <xdr:col>11</xdr:col>
      <xdr:colOff>676275</xdr:colOff>
      <xdr:row>60</xdr:row>
      <xdr:rowOff>9525</xdr:rowOff>
    </xdr:to>
    <xdr:sp macro="" textlink="">
      <xdr:nvSpPr>
        <xdr:cNvPr id="643271" name="Line 62">
          <a:extLst>
            <a:ext uri="{FF2B5EF4-FFF2-40B4-BE49-F238E27FC236}">
              <a16:creationId xmlns:a16="http://schemas.microsoft.com/office/drawing/2014/main" id="{291B64A0-A005-2F22-AFE0-48996F14BFA1}"/>
            </a:ext>
          </a:extLst>
        </xdr:cNvPr>
        <xdr:cNvSpPr>
          <a:spLocks noChangeShapeType="1"/>
        </xdr:cNvSpPr>
      </xdr:nvSpPr>
      <xdr:spPr bwMode="auto">
        <a:xfrm flipH="1">
          <a:off x="12401550" y="9867900"/>
          <a:ext cx="3257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1876425</xdr:colOff>
      <xdr:row>4</xdr:row>
      <xdr:rowOff>0</xdr:rowOff>
    </xdr:from>
    <xdr:to>
      <xdr:col>5</xdr:col>
      <xdr:colOff>0</xdr:colOff>
      <xdr:row>6</xdr:row>
      <xdr:rowOff>9525</xdr:rowOff>
    </xdr:to>
    <xdr:grpSp>
      <xdr:nvGrpSpPr>
        <xdr:cNvPr id="643272" name="Group 73">
          <a:extLst>
            <a:ext uri="{FF2B5EF4-FFF2-40B4-BE49-F238E27FC236}">
              <a16:creationId xmlns:a16="http://schemas.microsoft.com/office/drawing/2014/main" id="{4A2A7B9A-7EE5-BE97-3A8E-D787914581F1}"/>
            </a:ext>
          </a:extLst>
        </xdr:cNvPr>
        <xdr:cNvGrpSpPr>
          <a:grpSpLocks/>
        </xdr:cNvGrpSpPr>
      </xdr:nvGrpSpPr>
      <xdr:grpSpPr bwMode="auto">
        <a:xfrm>
          <a:off x="2800350" y="971550"/>
          <a:ext cx="5867400" cy="333375"/>
          <a:chOff x="228" y="102"/>
          <a:chExt cx="682" cy="35"/>
        </a:xfrm>
      </xdr:grpSpPr>
      <xdr:sp macro="" textlink="">
        <xdr:nvSpPr>
          <xdr:cNvPr id="643284" name="Line 64">
            <a:extLst>
              <a:ext uri="{FF2B5EF4-FFF2-40B4-BE49-F238E27FC236}">
                <a16:creationId xmlns:a16="http://schemas.microsoft.com/office/drawing/2014/main" id="{7774FEB5-59F1-3937-83DC-A25903FB9A4F}"/>
              </a:ext>
            </a:extLst>
          </xdr:cNvPr>
          <xdr:cNvSpPr>
            <a:spLocks noChangeShapeType="1"/>
          </xdr:cNvSpPr>
        </xdr:nvSpPr>
        <xdr:spPr bwMode="auto">
          <a:xfrm>
            <a:off x="909" y="102"/>
            <a:ext cx="1" cy="3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43285" name="Line 69">
            <a:extLst>
              <a:ext uri="{FF2B5EF4-FFF2-40B4-BE49-F238E27FC236}">
                <a16:creationId xmlns:a16="http://schemas.microsoft.com/office/drawing/2014/main" id="{422B610C-7328-7F86-CBA5-BA04BFF7D0A8}"/>
              </a:ext>
            </a:extLst>
          </xdr:cNvPr>
          <xdr:cNvSpPr>
            <a:spLocks noChangeShapeType="1"/>
          </xdr:cNvSpPr>
        </xdr:nvSpPr>
        <xdr:spPr bwMode="auto">
          <a:xfrm flipH="1">
            <a:off x="230" y="117"/>
            <a:ext cx="67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43286" name="Line 70">
            <a:extLst>
              <a:ext uri="{FF2B5EF4-FFF2-40B4-BE49-F238E27FC236}">
                <a16:creationId xmlns:a16="http://schemas.microsoft.com/office/drawing/2014/main" id="{E24D1EB2-BE8F-DF27-4069-8D14827F8911}"/>
              </a:ext>
            </a:extLst>
          </xdr:cNvPr>
          <xdr:cNvSpPr>
            <a:spLocks noChangeShapeType="1"/>
          </xdr:cNvSpPr>
        </xdr:nvSpPr>
        <xdr:spPr bwMode="auto">
          <a:xfrm>
            <a:off x="496" y="118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43287" name="Line 72">
            <a:extLst>
              <a:ext uri="{FF2B5EF4-FFF2-40B4-BE49-F238E27FC236}">
                <a16:creationId xmlns:a16="http://schemas.microsoft.com/office/drawing/2014/main" id="{71D7253B-FF65-A9BC-7CB4-696EC07C3765}"/>
              </a:ext>
            </a:extLst>
          </xdr:cNvPr>
          <xdr:cNvSpPr>
            <a:spLocks noChangeShapeType="1"/>
          </xdr:cNvSpPr>
        </xdr:nvSpPr>
        <xdr:spPr bwMode="auto">
          <a:xfrm>
            <a:off x="228" y="117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314325</xdr:colOff>
      <xdr:row>28</xdr:row>
      <xdr:rowOff>114300</xdr:rowOff>
    </xdr:from>
    <xdr:to>
      <xdr:col>3</xdr:col>
      <xdr:colOff>1485900</xdr:colOff>
      <xdr:row>28</xdr:row>
      <xdr:rowOff>114300</xdr:rowOff>
    </xdr:to>
    <xdr:sp macro="" textlink="">
      <xdr:nvSpPr>
        <xdr:cNvPr id="643273" name="Line 59">
          <a:extLst>
            <a:ext uri="{FF2B5EF4-FFF2-40B4-BE49-F238E27FC236}">
              <a16:creationId xmlns:a16="http://schemas.microsoft.com/office/drawing/2014/main" id="{9D6D5DEE-7B0D-1141-CF1D-87A60CC7F7B5}"/>
            </a:ext>
          </a:extLst>
        </xdr:cNvPr>
        <xdr:cNvSpPr>
          <a:spLocks noChangeShapeType="1"/>
        </xdr:cNvSpPr>
      </xdr:nvSpPr>
      <xdr:spPr bwMode="auto">
        <a:xfrm flipH="1">
          <a:off x="6305550" y="4886325"/>
          <a:ext cx="1171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22</xdr:row>
      <xdr:rowOff>95250</xdr:rowOff>
    </xdr:from>
    <xdr:to>
      <xdr:col>3</xdr:col>
      <xdr:colOff>1485900</xdr:colOff>
      <xdr:row>22</xdr:row>
      <xdr:rowOff>95250</xdr:rowOff>
    </xdr:to>
    <xdr:sp macro="" textlink="">
      <xdr:nvSpPr>
        <xdr:cNvPr id="643274" name="Line 60">
          <a:extLst>
            <a:ext uri="{FF2B5EF4-FFF2-40B4-BE49-F238E27FC236}">
              <a16:creationId xmlns:a16="http://schemas.microsoft.com/office/drawing/2014/main" id="{7CCDE25B-23AA-D98A-6D44-EF5BE35EFA3A}"/>
            </a:ext>
          </a:extLst>
        </xdr:cNvPr>
        <xdr:cNvSpPr>
          <a:spLocks noChangeShapeType="1"/>
        </xdr:cNvSpPr>
      </xdr:nvSpPr>
      <xdr:spPr bwMode="auto">
        <a:xfrm flipH="1">
          <a:off x="6305550" y="3971925"/>
          <a:ext cx="1171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34</xdr:row>
      <xdr:rowOff>95250</xdr:rowOff>
    </xdr:from>
    <xdr:to>
      <xdr:col>3</xdr:col>
      <xdr:colOff>1485900</xdr:colOff>
      <xdr:row>34</xdr:row>
      <xdr:rowOff>95250</xdr:rowOff>
    </xdr:to>
    <xdr:sp macro="" textlink="">
      <xdr:nvSpPr>
        <xdr:cNvPr id="643275" name="Line 63">
          <a:extLst>
            <a:ext uri="{FF2B5EF4-FFF2-40B4-BE49-F238E27FC236}">
              <a16:creationId xmlns:a16="http://schemas.microsoft.com/office/drawing/2014/main" id="{CE355B9A-62E6-F57A-F90D-2FBEB0B605FB}"/>
            </a:ext>
          </a:extLst>
        </xdr:cNvPr>
        <xdr:cNvSpPr>
          <a:spLocks noChangeShapeType="1"/>
        </xdr:cNvSpPr>
      </xdr:nvSpPr>
      <xdr:spPr bwMode="auto">
        <a:xfrm flipH="1">
          <a:off x="6305550" y="5724525"/>
          <a:ext cx="1171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323850</xdr:colOff>
      <xdr:row>16</xdr:row>
      <xdr:rowOff>66675</xdr:rowOff>
    </xdr:from>
    <xdr:to>
      <xdr:col>4</xdr:col>
      <xdr:colOff>0</xdr:colOff>
      <xdr:row>16</xdr:row>
      <xdr:rowOff>66675</xdr:rowOff>
    </xdr:to>
    <xdr:sp macro="" textlink="">
      <xdr:nvSpPr>
        <xdr:cNvPr id="643276" name="Line 77">
          <a:extLst>
            <a:ext uri="{FF2B5EF4-FFF2-40B4-BE49-F238E27FC236}">
              <a16:creationId xmlns:a16="http://schemas.microsoft.com/office/drawing/2014/main" id="{F1649235-6F7B-FC32-EEDE-12AA6F66A2DE}"/>
            </a:ext>
          </a:extLst>
        </xdr:cNvPr>
        <xdr:cNvSpPr>
          <a:spLocks noChangeShapeType="1"/>
        </xdr:cNvSpPr>
      </xdr:nvSpPr>
      <xdr:spPr bwMode="auto">
        <a:xfrm flipH="1">
          <a:off x="6315075" y="2981325"/>
          <a:ext cx="1162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10</xdr:row>
      <xdr:rowOff>95250</xdr:rowOff>
    </xdr:from>
    <xdr:to>
      <xdr:col>3</xdr:col>
      <xdr:colOff>1485900</xdr:colOff>
      <xdr:row>10</xdr:row>
      <xdr:rowOff>95250</xdr:rowOff>
    </xdr:to>
    <xdr:sp macro="" textlink="">
      <xdr:nvSpPr>
        <xdr:cNvPr id="643277" name="Line 106">
          <a:extLst>
            <a:ext uri="{FF2B5EF4-FFF2-40B4-BE49-F238E27FC236}">
              <a16:creationId xmlns:a16="http://schemas.microsoft.com/office/drawing/2014/main" id="{E057C7ED-676E-B766-9762-C046C668D57D}"/>
            </a:ext>
          </a:extLst>
        </xdr:cNvPr>
        <xdr:cNvSpPr>
          <a:spLocks noChangeShapeType="1"/>
        </xdr:cNvSpPr>
      </xdr:nvSpPr>
      <xdr:spPr bwMode="auto">
        <a:xfrm flipH="1">
          <a:off x="6305550" y="2038350"/>
          <a:ext cx="1171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1927226</xdr:colOff>
      <xdr:row>9</xdr:row>
      <xdr:rowOff>114299</xdr:rowOff>
    </xdr:from>
    <xdr:to>
      <xdr:col>1</xdr:col>
      <xdr:colOff>2373480</xdr:colOff>
      <xdr:row>11</xdr:row>
      <xdr:rowOff>56192</xdr:rowOff>
    </xdr:to>
    <xdr:sp macro="" textlink="">
      <xdr:nvSpPr>
        <xdr:cNvPr id="2" name="Up Arrow 1">
          <a:extLst>
            <a:ext uri="{FF2B5EF4-FFF2-40B4-BE49-F238E27FC236}">
              <a16:creationId xmlns:a16="http://schemas.microsoft.com/office/drawing/2014/main" id="{5815022F-040C-1E92-6415-9C0DC4736BC8}"/>
            </a:ext>
          </a:extLst>
        </xdr:cNvPr>
        <xdr:cNvSpPr/>
      </xdr:nvSpPr>
      <xdr:spPr>
        <a:xfrm>
          <a:off x="2228850" y="1857374"/>
          <a:ext cx="285750" cy="3143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CA"/>
        </a:p>
      </xdr:txBody>
    </xdr:sp>
    <xdr:clientData/>
  </xdr:twoCellAnchor>
  <xdr:twoCellAnchor editAs="oneCell">
    <xdr:from>
      <xdr:col>7</xdr:col>
      <xdr:colOff>676275</xdr:colOff>
      <xdr:row>35</xdr:row>
      <xdr:rowOff>180975</xdr:rowOff>
    </xdr:from>
    <xdr:to>
      <xdr:col>8</xdr:col>
      <xdr:colOff>152400</xdr:colOff>
      <xdr:row>38</xdr:row>
      <xdr:rowOff>0</xdr:rowOff>
    </xdr:to>
    <xdr:pic>
      <xdr:nvPicPr>
        <xdr:cNvPr id="643279" name="Picture 4">
          <a:extLst>
            <a:ext uri="{FF2B5EF4-FFF2-40B4-BE49-F238E27FC236}">
              <a16:creationId xmlns:a16="http://schemas.microsoft.com/office/drawing/2014/main" id="{720F2108-03D0-EA92-722A-9F5811D81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72975" y="5972175"/>
          <a:ext cx="180975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976086</xdr:colOff>
      <xdr:row>35</xdr:row>
      <xdr:rowOff>117475</xdr:rowOff>
    </xdr:from>
    <xdr:to>
      <xdr:col>9</xdr:col>
      <xdr:colOff>3992</xdr:colOff>
      <xdr:row>37</xdr:row>
      <xdr:rowOff>31750</xdr:rowOff>
    </xdr:to>
    <xdr:sp macro="" textlink="">
      <xdr:nvSpPr>
        <xdr:cNvPr id="17" name="Up Arrow 16">
          <a:extLst>
            <a:ext uri="{FF2B5EF4-FFF2-40B4-BE49-F238E27FC236}">
              <a16:creationId xmlns:a16="http://schemas.microsoft.com/office/drawing/2014/main" id="{9F0DF7C5-7337-0E75-B23C-F5B28921BBC4}"/>
            </a:ext>
          </a:extLst>
        </xdr:cNvPr>
        <xdr:cNvSpPr/>
      </xdr:nvSpPr>
      <xdr:spPr>
        <a:xfrm>
          <a:off x="13058775" y="5876925"/>
          <a:ext cx="285750" cy="3048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CA"/>
        </a:p>
      </xdr:txBody>
    </xdr:sp>
    <xdr:clientData/>
  </xdr:twoCellAnchor>
  <xdr:twoCellAnchor>
    <xdr:from>
      <xdr:col>3</xdr:col>
      <xdr:colOff>314325</xdr:colOff>
      <xdr:row>40</xdr:row>
      <xdr:rowOff>95250</xdr:rowOff>
    </xdr:from>
    <xdr:to>
      <xdr:col>3</xdr:col>
      <xdr:colOff>1485900</xdr:colOff>
      <xdr:row>40</xdr:row>
      <xdr:rowOff>95250</xdr:rowOff>
    </xdr:to>
    <xdr:sp macro="" textlink="">
      <xdr:nvSpPr>
        <xdr:cNvPr id="643281" name="Line 63">
          <a:extLst>
            <a:ext uri="{FF2B5EF4-FFF2-40B4-BE49-F238E27FC236}">
              <a16:creationId xmlns:a16="http://schemas.microsoft.com/office/drawing/2014/main" id="{13EB5782-F1CE-5B33-EB29-FD647703DE70}"/>
            </a:ext>
          </a:extLst>
        </xdr:cNvPr>
        <xdr:cNvSpPr>
          <a:spLocks noChangeShapeType="1"/>
        </xdr:cNvSpPr>
      </xdr:nvSpPr>
      <xdr:spPr bwMode="auto">
        <a:xfrm flipH="1">
          <a:off x="6305550" y="6715125"/>
          <a:ext cx="1171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581025</xdr:colOff>
      <xdr:row>31</xdr:row>
      <xdr:rowOff>0</xdr:rowOff>
    </xdr:from>
    <xdr:to>
      <xdr:col>8</xdr:col>
      <xdr:colOff>76200</xdr:colOff>
      <xdr:row>33</xdr:row>
      <xdr:rowOff>133350</xdr:rowOff>
    </xdr:to>
    <xdr:pic>
      <xdr:nvPicPr>
        <xdr:cNvPr id="643282" name="Picture 3">
          <a:extLst>
            <a:ext uri="{FF2B5EF4-FFF2-40B4-BE49-F238E27FC236}">
              <a16:creationId xmlns:a16="http://schemas.microsoft.com/office/drawing/2014/main" id="{13003EB5-20FB-FD1C-991C-CEFA30B2E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7725" y="5210175"/>
          <a:ext cx="2000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978354</xdr:colOff>
      <xdr:row>30</xdr:row>
      <xdr:rowOff>157843</xdr:rowOff>
    </xdr:from>
    <xdr:to>
      <xdr:col>8</xdr:col>
      <xdr:colOff>1017180</xdr:colOff>
      <xdr:row>33</xdr:row>
      <xdr:rowOff>28443</xdr:rowOff>
    </xdr:to>
    <xdr:sp macro="" textlink="">
      <xdr:nvSpPr>
        <xdr:cNvPr id="20" name="Up Arrow 19">
          <a:extLst>
            <a:ext uri="{FF2B5EF4-FFF2-40B4-BE49-F238E27FC236}">
              <a16:creationId xmlns:a16="http://schemas.microsoft.com/office/drawing/2014/main" id="{F811618D-F6DF-0F3A-1A6D-7981E10B4D4D}"/>
            </a:ext>
          </a:extLst>
        </xdr:cNvPr>
        <xdr:cNvSpPr/>
      </xdr:nvSpPr>
      <xdr:spPr>
        <a:xfrm>
          <a:off x="13049250" y="5181600"/>
          <a:ext cx="285750" cy="3048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CA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942975</xdr:colOff>
      <xdr:row>1</xdr:row>
      <xdr:rowOff>133350</xdr:rowOff>
    </xdr:from>
    <xdr:to>
      <xdr:col>27</xdr:col>
      <xdr:colOff>571500</xdr:colOff>
      <xdr:row>18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C16BDF-E1E1-D926-B3CF-965CD1670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6150" y="295275"/>
          <a:ext cx="17097375" cy="5105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5772150" cy="41814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C9F7C-21BC-64E7-78F6-CC8E6EF711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276225</xdr:colOff>
      <xdr:row>1</xdr:row>
      <xdr:rowOff>0</xdr:rowOff>
    </xdr:from>
    <xdr:to>
      <xdr:col>16</xdr:col>
      <xdr:colOff>76200</xdr:colOff>
      <xdr:row>13</xdr:row>
      <xdr:rowOff>0</xdr:rowOff>
    </xdr:to>
    <xdr:pic>
      <xdr:nvPicPr>
        <xdr:cNvPr id="644129" name="Picture 1" descr="Picture1">
          <a:extLst>
            <a:ext uri="{FF2B5EF4-FFF2-40B4-BE49-F238E27FC236}">
              <a16:creationId xmlns:a16="http://schemas.microsoft.com/office/drawing/2014/main" id="{34DC5D17-1B1F-A4FB-FACF-A086AFBBA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0" y="161925"/>
          <a:ext cx="2600325" cy="1943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1590675</xdr:colOff>
      <xdr:row>36</xdr:row>
      <xdr:rowOff>85725</xdr:rowOff>
    </xdr:from>
    <xdr:to>
      <xdr:col>15</xdr:col>
      <xdr:colOff>476250</xdr:colOff>
      <xdr:row>37</xdr:row>
      <xdr:rowOff>85725</xdr:rowOff>
    </xdr:to>
    <xdr:pic>
      <xdr:nvPicPr>
        <xdr:cNvPr id="644130" name="Picture 4">
          <a:extLst>
            <a:ext uri="{FF2B5EF4-FFF2-40B4-BE49-F238E27FC236}">
              <a16:creationId xmlns:a16="http://schemas.microsoft.com/office/drawing/2014/main" id="{1B5AB246-4EA0-23B9-F415-E3A65BA8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0025" y="6124575"/>
          <a:ext cx="4762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56583</xdr:colOff>
      <xdr:row>37</xdr:row>
      <xdr:rowOff>0</xdr:rowOff>
    </xdr:from>
    <xdr:to>
      <xdr:col>15</xdr:col>
      <xdr:colOff>56583</xdr:colOff>
      <xdr:row>38</xdr:row>
      <xdr:rowOff>108180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491E6474-4C4E-C66B-C7F3-40B5C3F2FE6C}"/>
            </a:ext>
          </a:extLst>
        </xdr:cNvPr>
        <xdr:cNvSpPr/>
      </xdr:nvSpPr>
      <xdr:spPr>
        <a:xfrm>
          <a:off x="9839325" y="8724900"/>
          <a:ext cx="285750" cy="3048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CA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390525</xdr:colOff>
      <xdr:row>2</xdr:row>
      <xdr:rowOff>19050</xdr:rowOff>
    </xdr:from>
    <xdr:to>
      <xdr:col>19</xdr:col>
      <xdr:colOff>0</xdr:colOff>
      <xdr:row>5</xdr:row>
      <xdr:rowOff>123825</xdr:rowOff>
    </xdr:to>
    <xdr:pic>
      <xdr:nvPicPr>
        <xdr:cNvPr id="645142" name="Picture 7" descr="Picture1">
          <a:extLst>
            <a:ext uri="{FF2B5EF4-FFF2-40B4-BE49-F238E27FC236}">
              <a16:creationId xmlns:a16="http://schemas.microsoft.com/office/drawing/2014/main" id="{2A6EB0A1-0789-90E4-72CE-861602A4C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87350" y="342900"/>
          <a:ext cx="2047875" cy="1685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257175</xdr:colOff>
      <xdr:row>7</xdr:row>
      <xdr:rowOff>66675</xdr:rowOff>
    </xdr:from>
    <xdr:to>
      <xdr:col>19</xdr:col>
      <xdr:colOff>0</xdr:colOff>
      <xdr:row>14</xdr:row>
      <xdr:rowOff>142875</xdr:rowOff>
    </xdr:to>
    <xdr:pic>
      <xdr:nvPicPr>
        <xdr:cNvPr id="645143" name="Picture 8" descr="Picture2">
          <a:extLst>
            <a:ext uri="{FF2B5EF4-FFF2-40B4-BE49-F238E27FC236}">
              <a16:creationId xmlns:a16="http://schemas.microsoft.com/office/drawing/2014/main" id="{A389DAE0-EFA9-04A2-2AC7-FBCD9D81B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2705100"/>
          <a:ext cx="218122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20" xr:uid="{A7068D79-FAA9-450C-A577-80CA83ADA824}" name="HGR_6" displayName="HGR_6" ref="A1:T10" totalsRowShown="0" headerRowDxfId="181">
  <autoFilter ref="A1:T10" xr:uid="{90B87EF1-AEA9-4269-8400-3D9FCA48D550}"/>
  <tableColumns count="20">
    <tableColumn id="1" xr3:uid="{00000000-0010-0000-0100-000001000000}" name="C/S" dataDxfId="180"/>
    <tableColumn id="2" xr3:uid="{00000000-0010-0000-0100-000002000000}" name="TEM TAG" dataDxfId="179"/>
    <tableColumn id="3" xr3:uid="{00000000-0010-0000-0100-000003000000}" name="U/S TAG" dataDxfId="178"/>
    <tableColumn id="4" xr3:uid="{00000000-0010-0000-0100-000004000000}" name="Pylon" dataDxfId="177"/>
    <tableColumn id="7" xr3:uid="{00000000-0010-0000-0100-000007000000}" name="Specification" dataDxfId="176"/>
    <tableColumn id="8" xr3:uid="{00000000-0010-0000-0100-000008000000}" name="Type" dataDxfId="175"/>
    <tableColumn id="9" xr3:uid="{00000000-0010-0000-0100-000009000000}" name="Manufacturer" dataDxfId="174"/>
    <tableColumn id="10" xr3:uid="{00000000-0010-0000-0100-00000A000000}" name="P/N" dataDxfId="173"/>
    <tableColumn id="11" xr3:uid="{00000000-0010-0000-0100-00000B000000}" name="NSN" dataDxfId="172"/>
    <tableColumn id="12" xr3:uid="{00000000-0010-0000-0100-00000C000000}" name="Mfg Serial No." dataDxfId="171"/>
    <tableColumn id="14" xr3:uid="{00000000-0010-0000-0100-00000E000000}" name="EMR-DREMIS" dataDxfId="170"/>
    <tableColumn id="15" xr3:uid="{00000000-0010-0000-0100-00000F000000}" name="TEMMIS ##" dataDxfId="169"/>
    <tableColumn id="23" xr3:uid="{00000000-0010-0000-0100-000017000000}" name="On Charge" dataDxfId="168"/>
    <tableColumn id="16" xr3:uid="{00000000-0010-0000-0100-000010000000}" name="Cal. Date" dataDxfId="167"/>
    <tableColumn id="17" xr3:uid="{00000000-0010-0000-0100-000011000000}" name="Cal. Due" dataDxfId="166"/>
    <tableColumn id="19" xr3:uid="{00000000-0010-0000-0100-000013000000}" name="Remarks" dataDxfId="165"/>
    <tableColumn id="20" xr3:uid="{00000000-0010-0000-0100-000014000000}" name="TEM TAG Check" dataDxfId="164"/>
    <tableColumn id="21" xr3:uid="{00000000-0010-0000-0100-000015000000}" name="U/S Tag Check" dataDxfId="163"/>
    <tableColumn id="22" xr3:uid="{00000000-0010-0000-0100-000016000000}" name="Pylon Check" dataDxfId="162"/>
    <tableColumn id="5" xr3:uid="{00000000-0010-0000-0100-000005000000}" name="UPDATED" dataDxfId="161"/>
  </tableColumns>
  <tableStyleInfo name="Light Gray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6" xr:uid="{E9576686-E144-4410-9E54-8FF0261FC734}" name="List1347" displayName="List1347" ref="U3:U5" totalsRowShown="0" headerRowDxfId="4" dataDxfId="2" headerRowBorderDxfId="3" totalsRowBorderDxfId="1">
  <autoFilter ref="U3:U5" xr:uid="{72DD6B84-60EC-4902-8F76-35D6BCB160D6}"/>
  <tableColumns count="1">
    <tableColumn id="1" xr3:uid="{00000000-0010-0000-0300-000001000000}" name="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F9FD58-7946-43BE-84CB-4D6A55F68F16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935b1317-9098-4666-b613-5a6d5d81dd5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W08-TTN-VMlog01\basewide\429%20Sqn\8%20AMS%20AECMS%20&amp;%20TIRE%20BAY%20STAT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file:///\\W08-TTN-VMlog01\basewide\429%20Sqn\8%20AMS%20AECMS%20&amp;%20TIRE%20BAY%20STAT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file:///\\RES-TTN-PVCMMN2\BASEWIDE\8%20AMS\8%20AMS%20Confined%20Space\AECMS%20PLATE\AECMS%20Equipment.xlsx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2D0C-EEE5-40F9-BB07-70969EF9F6E0}">
  <sheetPr codeName="Sheet1">
    <tabColor indexed="44"/>
    <pageSetUpPr autoPageBreaks="0" fitToPage="1"/>
  </sheetPr>
  <dimension ref="A1:FG186"/>
  <sheetViews>
    <sheetView showGridLines="0" zoomScale="57" zoomScaleNormal="57" zoomScaleSheetLayoutView="100" workbookViewId="0">
      <selection activeCell="C3" sqref="C3"/>
    </sheetView>
  </sheetViews>
  <sheetFormatPr defaultColWidth="9.140625" defaultRowHeight="18" x14ac:dyDescent="0.25"/>
  <cols>
    <col min="1" max="1" width="1" style="872" customWidth="1"/>
    <col min="2" max="2" width="14.42578125" style="321" customWidth="1"/>
    <col min="3" max="3" width="25.85546875" style="734" customWidth="1"/>
    <col min="4" max="4" width="87.5703125" style="1197" customWidth="1"/>
    <col min="5" max="5" width="20.42578125" customWidth="1"/>
    <col min="6" max="6" width="11.42578125" style="2" customWidth="1"/>
    <col min="7" max="7" width="16.28515625" style="2" hidden="1" customWidth="1"/>
    <col min="8" max="8" width="14" style="2" hidden="1" customWidth="1"/>
    <col min="9" max="9" width="8.7109375" style="1345" customWidth="1"/>
    <col min="10" max="10" width="20" style="2" hidden="1" customWidth="1"/>
    <col min="11" max="11" width="86.140625" customWidth="1"/>
    <col min="12" max="12" width="22.42578125" hidden="1" customWidth="1"/>
    <col min="13" max="13" width="25.140625" hidden="1" customWidth="1"/>
    <col min="14" max="14" width="26.28515625" style="2" hidden="1" customWidth="1"/>
    <col min="15" max="15" width="28.5703125" customWidth="1"/>
    <col min="16" max="16" width="12.7109375" bestFit="1" customWidth="1"/>
  </cols>
  <sheetData>
    <row r="1" spans="1:16" ht="27.75" customHeight="1" x14ac:dyDescent="0.2">
      <c r="B1" s="1136"/>
      <c r="C1" s="1136"/>
      <c r="D1" s="1523" t="s">
        <v>0</v>
      </c>
      <c r="E1" s="1523"/>
      <c r="F1" s="1523"/>
      <c r="G1" s="1523"/>
      <c r="H1" s="1523"/>
      <c r="I1" s="1523"/>
      <c r="J1" s="1523"/>
      <c r="K1" s="1523"/>
      <c r="L1" s="1129" t="s">
        <v>1</v>
      </c>
      <c r="M1" s="1128" t="s">
        <v>2</v>
      </c>
      <c r="N1" s="1117" t="s">
        <v>3</v>
      </c>
      <c r="O1" s="1118" t="s">
        <v>4</v>
      </c>
    </row>
    <row r="2" spans="1:16" ht="21.75" customHeight="1" x14ac:dyDescent="0.2">
      <c r="B2" s="1524"/>
      <c r="C2" s="1525"/>
      <c r="D2" s="1190"/>
      <c r="K2" s="328"/>
      <c r="O2" s="2"/>
      <c r="P2" s="326"/>
    </row>
    <row r="3" spans="1:16" s="230" customFormat="1" ht="39.950000000000003" customHeight="1" x14ac:dyDescent="0.2">
      <c r="A3" s="948"/>
      <c r="B3" s="1140" t="s">
        <v>5</v>
      </c>
      <c r="C3" s="1141" t="s">
        <v>6</v>
      </c>
      <c r="D3" s="1191" t="s">
        <v>7</v>
      </c>
      <c r="E3" s="1113" t="s">
        <v>8</v>
      </c>
      <c r="F3" s="1321" t="s">
        <v>9</v>
      </c>
      <c r="G3" s="1114" t="s">
        <v>10</v>
      </c>
      <c r="H3" s="1114" t="s">
        <v>11</v>
      </c>
      <c r="I3" s="1346" t="s">
        <v>12</v>
      </c>
      <c r="J3" s="1115" t="s">
        <v>13</v>
      </c>
      <c r="K3" s="1116" t="s">
        <v>14</v>
      </c>
      <c r="L3" s="356" t="s">
        <v>15</v>
      </c>
      <c r="M3" s="947" t="s">
        <v>16</v>
      </c>
      <c r="N3" s="1115" t="s">
        <v>17</v>
      </c>
      <c r="O3" s="1130" t="s">
        <v>18</v>
      </c>
      <c r="P3" s="326"/>
    </row>
    <row r="4" spans="1:16" s="230" customFormat="1" ht="39.950000000000003" customHeight="1" x14ac:dyDescent="0.2">
      <c r="A4" s="948"/>
      <c r="B4" s="1156" t="s">
        <v>19</v>
      </c>
      <c r="C4" s="1157" t="s">
        <v>20</v>
      </c>
      <c r="D4" s="1162" t="s">
        <v>21</v>
      </c>
      <c r="E4" s="1320" t="s">
        <v>1</v>
      </c>
      <c r="F4" s="1518">
        <v>2</v>
      </c>
      <c r="G4" s="1519">
        <v>1</v>
      </c>
      <c r="H4" s="1520">
        <f>COUNTIF(E4:E5,"S")</f>
        <v>0</v>
      </c>
      <c r="I4" s="1539">
        <f>COUNTIFS($D:$D,"*CRANE, FLOOR, PORTABLE*",$E:$E,"Serviceable") / COUNTIFS($D:$D,"*CRANE, FLOOR, PORTABLE*")</f>
        <v>1</v>
      </c>
      <c r="J4" s="1537">
        <f>IF(H4/G4&gt;1,1,H4/G4)</f>
        <v>0</v>
      </c>
      <c r="K4" s="437"/>
      <c r="L4" s="322" t="s">
        <v>22</v>
      </c>
      <c r="M4" s="542">
        <v>45981</v>
      </c>
      <c r="N4" s="436" t="s">
        <v>23</v>
      </c>
      <c r="O4" s="1461" t="s">
        <v>24</v>
      </c>
      <c r="P4" s="326"/>
    </row>
    <row r="5" spans="1:16" s="230" customFormat="1" ht="37.5" customHeight="1" x14ac:dyDescent="0.2">
      <c r="A5" s="948"/>
      <c r="B5" s="1160" t="s">
        <v>25</v>
      </c>
      <c r="C5" s="1161" t="s">
        <v>26</v>
      </c>
      <c r="D5" s="1192" t="s">
        <v>21</v>
      </c>
      <c r="E5" s="1320" t="s">
        <v>1</v>
      </c>
      <c r="F5" s="1518"/>
      <c r="G5" s="1519"/>
      <c r="H5" s="1520"/>
      <c r="I5" s="1540"/>
      <c r="J5" s="1538"/>
      <c r="K5" s="738"/>
      <c r="L5" s="739" t="s">
        <v>22</v>
      </c>
      <c r="M5" s="736">
        <v>45851</v>
      </c>
      <c r="N5" s="737" t="s">
        <v>27</v>
      </c>
      <c r="O5" s="1461"/>
      <c r="P5" s="326"/>
    </row>
    <row r="6" spans="1:16" s="733" customFormat="1" ht="40.5" customHeight="1" x14ac:dyDescent="0.25">
      <c r="A6" s="1076"/>
      <c r="B6" s="1150" t="s">
        <v>28</v>
      </c>
      <c r="C6" s="1151" t="s">
        <v>29</v>
      </c>
      <c r="D6" s="1328" t="s">
        <v>30</v>
      </c>
      <c r="E6" s="1320" t="s">
        <v>1</v>
      </c>
      <c r="F6" s="1458">
        <v>4</v>
      </c>
      <c r="G6" s="1451"/>
      <c r="H6" s="1521"/>
      <c r="I6" s="1541">
        <f>COUNTIFS($D:$D,"*NITROGEN *",$E:$E,"Serviceable") / COUNTIFS($D:$D,"*NITROGEN *")</f>
        <v>0.4</v>
      </c>
      <c r="J6" s="1526"/>
      <c r="K6" s="1322"/>
      <c r="L6" s="1326" t="s">
        <v>31</v>
      </c>
      <c r="M6" s="447">
        <v>46346</v>
      </c>
      <c r="N6" s="754" t="s">
        <v>32</v>
      </c>
      <c r="O6" s="1466"/>
      <c r="P6" s="326"/>
    </row>
    <row r="7" spans="1:16" s="230" customFormat="1" ht="39.950000000000003" customHeight="1" x14ac:dyDescent="0.2">
      <c r="A7" s="948"/>
      <c r="B7" s="1152" t="s">
        <v>33</v>
      </c>
      <c r="C7" s="1153" t="s">
        <v>34</v>
      </c>
      <c r="D7" s="1224" t="s">
        <v>35</v>
      </c>
      <c r="E7" s="735" t="s">
        <v>3</v>
      </c>
      <c r="F7" s="1458"/>
      <c r="G7" s="1451"/>
      <c r="H7" s="1521"/>
      <c r="I7" s="1542"/>
      <c r="J7" s="1526"/>
      <c r="K7" s="1323" t="s">
        <v>36</v>
      </c>
      <c r="L7" s="1326" t="s">
        <v>37</v>
      </c>
      <c r="M7" s="325">
        <v>46096</v>
      </c>
      <c r="N7" s="366" t="s">
        <v>38</v>
      </c>
      <c r="O7" s="1466"/>
      <c r="P7" s="326"/>
    </row>
    <row r="8" spans="1:16" s="230" customFormat="1" ht="39.950000000000003" customHeight="1" x14ac:dyDescent="0.2">
      <c r="A8" s="948"/>
      <c r="B8" s="1152" t="s">
        <v>39</v>
      </c>
      <c r="C8" s="1153" t="s">
        <v>40</v>
      </c>
      <c r="D8" s="1224" t="s">
        <v>41</v>
      </c>
      <c r="E8" s="735" t="s">
        <v>3</v>
      </c>
      <c r="F8" s="1458"/>
      <c r="G8" s="1451"/>
      <c r="H8" s="1521"/>
      <c r="I8" s="1542"/>
      <c r="J8" s="1526"/>
      <c r="K8" s="1323" t="s">
        <v>42</v>
      </c>
      <c r="L8" s="1326" t="s">
        <v>37</v>
      </c>
      <c r="M8" s="325">
        <v>46346</v>
      </c>
      <c r="N8" s="366" t="s">
        <v>38</v>
      </c>
      <c r="O8" s="1466"/>
      <c r="P8" s="326"/>
    </row>
    <row r="9" spans="1:16" s="230" customFormat="1" ht="39.950000000000003" customHeight="1" x14ac:dyDescent="0.2">
      <c r="A9" s="948"/>
      <c r="B9" s="1152" t="s">
        <v>43</v>
      </c>
      <c r="C9" s="1153" t="s">
        <v>44</v>
      </c>
      <c r="D9" s="1364" t="s">
        <v>45</v>
      </c>
      <c r="E9" s="1336" t="s">
        <v>1</v>
      </c>
      <c r="F9" s="1458"/>
      <c r="G9" s="1451"/>
      <c r="H9" s="1521"/>
      <c r="I9" s="1542"/>
      <c r="J9" s="1527"/>
      <c r="K9" s="1324" t="s">
        <v>46</v>
      </c>
      <c r="L9" s="1326" t="s">
        <v>31</v>
      </c>
      <c r="M9" s="325">
        <v>46485</v>
      </c>
      <c r="N9" s="366" t="s">
        <v>23</v>
      </c>
      <c r="O9" s="1522"/>
      <c r="P9" s="326"/>
    </row>
    <row r="10" spans="1:16" s="230" customFormat="1" ht="39.950000000000003" customHeight="1" x14ac:dyDescent="0.2">
      <c r="A10" s="948"/>
      <c r="B10" s="1154" t="s">
        <v>47</v>
      </c>
      <c r="C10" s="1155" t="s">
        <v>48</v>
      </c>
      <c r="D10" s="1335" t="s">
        <v>49</v>
      </c>
      <c r="E10" s="1334" t="s">
        <v>50</v>
      </c>
      <c r="F10" s="357">
        <v>1</v>
      </c>
      <c r="G10" s="1329">
        <v>1</v>
      </c>
      <c r="H10" s="1330">
        <v>1</v>
      </c>
      <c r="I10" s="1535"/>
      <c r="J10" s="1331"/>
      <c r="K10" s="1325" t="s">
        <v>51</v>
      </c>
      <c r="L10" s="1327" t="s">
        <v>52</v>
      </c>
      <c r="M10" s="452">
        <v>46235</v>
      </c>
      <c r="N10" s="1045" t="s">
        <v>38</v>
      </c>
      <c r="O10" s="1075" t="s">
        <v>53</v>
      </c>
      <c r="P10" s="326"/>
    </row>
    <row r="11" spans="1:16" s="230" customFormat="1" ht="39.950000000000003" customHeight="1" x14ac:dyDescent="0.2">
      <c r="A11" s="948"/>
      <c r="B11" s="1207" t="s">
        <v>54</v>
      </c>
      <c r="C11" s="1208" t="s">
        <v>55</v>
      </c>
      <c r="D11" s="1209" t="s">
        <v>56</v>
      </c>
      <c r="E11" s="1320" t="s">
        <v>3</v>
      </c>
      <c r="F11" s="1518">
        <v>2</v>
      </c>
      <c r="G11" s="1531">
        <v>1</v>
      </c>
      <c r="H11" s="1532">
        <f>COUNTIF(E11:E12, "S")</f>
        <v>0</v>
      </c>
      <c r="I11" s="1535">
        <f>COUNTIFS($D:$D,"*TANK AND PUMP UNIT*",$E:$E,"Serviceable") / COUNTIFS($D:$D,"*TANK AND PUMP UNIT*")</f>
        <v>0.5</v>
      </c>
      <c r="J11" s="1332">
        <f>IF(H11/G11&gt;1,1,H11/G11)</f>
        <v>0</v>
      </c>
      <c r="K11" s="541" t="s">
        <v>57</v>
      </c>
      <c r="L11" s="540" t="s">
        <v>58</v>
      </c>
      <c r="M11" s="454">
        <v>46111</v>
      </c>
      <c r="N11" s="539" t="s">
        <v>23</v>
      </c>
      <c r="O11" s="1466" t="s">
        <v>24</v>
      </c>
      <c r="P11" s="326"/>
    </row>
    <row r="12" spans="1:16" s="230" customFormat="1" ht="39.950000000000003" customHeight="1" x14ac:dyDescent="0.2">
      <c r="A12" s="948"/>
      <c r="B12" s="1213" t="s">
        <v>59</v>
      </c>
      <c r="C12" s="1214" t="s">
        <v>60</v>
      </c>
      <c r="D12" s="1215" t="s">
        <v>61</v>
      </c>
      <c r="E12" s="1320" t="s">
        <v>1</v>
      </c>
      <c r="F12" s="1518"/>
      <c r="G12" s="1531"/>
      <c r="H12" s="1533"/>
      <c r="I12" s="1536"/>
      <c r="J12" s="1333"/>
      <c r="K12" s="333"/>
      <c r="L12" s="984" t="s">
        <v>62</v>
      </c>
      <c r="M12" s="325">
        <v>46114</v>
      </c>
      <c r="N12" s="366" t="s">
        <v>63</v>
      </c>
      <c r="O12" s="1467"/>
      <c r="P12" s="326"/>
    </row>
    <row r="13" spans="1:16" s="230" customFormat="1" ht="39.950000000000003" customHeight="1" x14ac:dyDescent="0.2">
      <c r="A13" s="948"/>
      <c r="B13" s="1171" t="s">
        <v>64</v>
      </c>
      <c r="C13" s="1144"/>
      <c r="D13" s="1194" t="s">
        <v>65</v>
      </c>
      <c r="E13" s="1320" t="s">
        <v>1</v>
      </c>
      <c r="F13" s="1458">
        <v>2</v>
      </c>
      <c r="G13" s="1451">
        <v>1</v>
      </c>
      <c r="H13" s="1534">
        <v>1</v>
      </c>
      <c r="I13" s="1499">
        <f>COUNTIFS($D:$D,"*B2 STAND*",$E:$E,"Serviceable") / COUNTIFS($D:$D,"*B2 STAND*")</f>
        <v>1</v>
      </c>
      <c r="J13" s="335">
        <f>IF(H13/G13&gt;1,1,H13/G13)</f>
        <v>1</v>
      </c>
      <c r="K13" s="333"/>
      <c r="L13" s="985" t="s">
        <v>66</v>
      </c>
      <c r="M13" s="325">
        <v>46179</v>
      </c>
      <c r="N13" s="366" t="s">
        <v>67</v>
      </c>
      <c r="O13" s="1465" t="s">
        <v>68</v>
      </c>
      <c r="P13" s="326"/>
    </row>
    <row r="14" spans="1:16" s="230" customFormat="1" ht="39.950000000000003" customHeight="1" x14ac:dyDescent="0.2">
      <c r="A14" s="948"/>
      <c r="B14" s="1165" t="s">
        <v>69</v>
      </c>
      <c r="C14" s="1166" t="s">
        <v>70</v>
      </c>
      <c r="D14" s="1194" t="s">
        <v>65</v>
      </c>
      <c r="E14" s="1320" t="s">
        <v>1</v>
      </c>
      <c r="F14" s="1459"/>
      <c r="G14" s="1449"/>
      <c r="H14" s="1447"/>
      <c r="I14" s="1470"/>
      <c r="J14" s="335"/>
      <c r="K14" s="333"/>
      <c r="L14" s="322" t="s">
        <v>71</v>
      </c>
      <c r="M14" s="325">
        <v>46179</v>
      </c>
      <c r="N14" s="366" t="s">
        <v>32</v>
      </c>
      <c r="O14" s="1467"/>
      <c r="P14" s="326"/>
    </row>
    <row r="15" spans="1:16" s="230" customFormat="1" ht="39.950000000000003" customHeight="1" x14ac:dyDescent="0.2">
      <c r="A15" s="948"/>
      <c r="B15" s="1156" t="s">
        <v>72</v>
      </c>
      <c r="C15" s="1157" t="s">
        <v>73</v>
      </c>
      <c r="D15" s="1162" t="s">
        <v>74</v>
      </c>
      <c r="E15" s="1320" t="s">
        <v>1</v>
      </c>
      <c r="F15" s="1457">
        <v>2</v>
      </c>
      <c r="G15" s="1448">
        <v>1</v>
      </c>
      <c r="H15" s="1445">
        <f>COUNTIF(E15:E16,"S")</f>
        <v>0</v>
      </c>
      <c r="I15" s="1543">
        <f>COUNTIFS($D:$D,"*B2 STAND*",$E:$E,"Serviceable") / COUNTIFS($D:$D,"*B2 STAND*")</f>
        <v>1</v>
      </c>
      <c r="J15" s="335">
        <f>IF(H15/G15&gt;1,1,H15/G15)</f>
        <v>0</v>
      </c>
      <c r="K15" s="337" t="s">
        <v>75</v>
      </c>
      <c r="L15" s="334" t="s">
        <v>66</v>
      </c>
      <c r="M15" s="447">
        <v>45984</v>
      </c>
      <c r="N15" s="364" t="s">
        <v>23</v>
      </c>
      <c r="O15" s="1465" t="s">
        <v>68</v>
      </c>
      <c r="P15" s="326"/>
    </row>
    <row r="16" spans="1:16" s="230" customFormat="1" ht="35.25" customHeight="1" x14ac:dyDescent="0.2">
      <c r="A16" s="948"/>
      <c r="B16" s="1158" t="s">
        <v>76</v>
      </c>
      <c r="C16" s="1159" t="s">
        <v>77</v>
      </c>
      <c r="D16" s="1195" t="s">
        <v>74</v>
      </c>
      <c r="E16" s="1320" t="s">
        <v>1</v>
      </c>
      <c r="F16" s="1459"/>
      <c r="G16" s="1449"/>
      <c r="H16" s="1447"/>
      <c r="I16" s="1544"/>
      <c r="J16" s="335"/>
      <c r="K16" s="332" t="s">
        <v>78</v>
      </c>
      <c r="L16" s="336" t="s">
        <v>22</v>
      </c>
      <c r="M16" s="447">
        <v>46055</v>
      </c>
      <c r="N16" s="364" t="s">
        <v>32</v>
      </c>
      <c r="O16" s="1467"/>
      <c r="P16" s="326"/>
    </row>
    <row r="17" spans="1:17" s="230" customFormat="1" ht="37.5" x14ac:dyDescent="0.2">
      <c r="A17" s="948"/>
      <c r="B17" s="1169" t="s">
        <v>79</v>
      </c>
      <c r="C17" s="1169" t="s">
        <v>80</v>
      </c>
      <c r="D17" s="1170" t="s">
        <v>81</v>
      </c>
      <c r="E17" s="1320" t="s">
        <v>3</v>
      </c>
      <c r="F17" s="338">
        <v>1</v>
      </c>
      <c r="G17" s="339">
        <v>1</v>
      </c>
      <c r="H17" s="340">
        <f>COUNTIF(E17,"S")</f>
        <v>0</v>
      </c>
      <c r="I17" s="1337">
        <f>COUNTIFS($D:$D,"*MAINTENANCE PLATFORM AIRCRAFT ADJUSTABLE 3 *",$E:$E,"Serviceable") / COUNTIFS($D:$D,"*MAINTENANCE PLATFORM AIRCRAFT ADJUSTABLE 3*")</f>
        <v>0</v>
      </c>
      <c r="J17" s="335">
        <f>IF(H17/G17&gt;1,1,H17/G17)</f>
        <v>0</v>
      </c>
      <c r="K17" s="942" t="s">
        <v>82</v>
      </c>
      <c r="L17" s="336" t="s">
        <v>58</v>
      </c>
      <c r="M17" s="447">
        <v>45883</v>
      </c>
      <c r="N17" s="364" t="s">
        <v>27</v>
      </c>
      <c r="O17" s="341" t="s">
        <v>68</v>
      </c>
      <c r="P17" s="326"/>
    </row>
    <row r="18" spans="1:17" s="230" customFormat="1" ht="39.950000000000003" customHeight="1" x14ac:dyDescent="0.2">
      <c r="A18" s="948"/>
      <c r="B18" s="1207" t="s">
        <v>83</v>
      </c>
      <c r="C18" s="1208" t="s">
        <v>84</v>
      </c>
      <c r="D18" s="1209" t="s">
        <v>85</v>
      </c>
      <c r="E18" s="1320" t="s">
        <v>1</v>
      </c>
      <c r="F18" s="1457">
        <v>4</v>
      </c>
      <c r="G18" s="1448">
        <v>1</v>
      </c>
      <c r="H18" s="1445">
        <f>COUNTIF(E18:E21, "S")</f>
        <v>0</v>
      </c>
      <c r="I18" s="1468">
        <f>COUNTIFS($D:$D,"*1730-01-316-3125*",$E:$E,"Serviceable") / COUNTIFS($D:$D,"*1730-01-316-3125*")</f>
        <v>1</v>
      </c>
      <c r="J18" s="1528">
        <f>IF(H18/G18&gt;1,1,H18/G18)</f>
        <v>0</v>
      </c>
      <c r="K18" s="344"/>
      <c r="L18" s="322" t="s">
        <v>22</v>
      </c>
      <c r="M18" s="325">
        <v>46023</v>
      </c>
      <c r="N18" s="366" t="s">
        <v>86</v>
      </c>
      <c r="O18" s="1465" t="s">
        <v>24</v>
      </c>
      <c r="P18" s="326"/>
    </row>
    <row r="19" spans="1:17" s="230" customFormat="1" ht="39.950000000000003" customHeight="1" x14ac:dyDescent="0.2">
      <c r="A19" s="948"/>
      <c r="B19" s="1210" t="s">
        <v>87</v>
      </c>
      <c r="C19" s="1180" t="s">
        <v>88</v>
      </c>
      <c r="D19" s="1211" t="s">
        <v>85</v>
      </c>
      <c r="E19" s="1320" t="s">
        <v>1</v>
      </c>
      <c r="F19" s="1458"/>
      <c r="G19" s="1451"/>
      <c r="H19" s="1446"/>
      <c r="I19" s="1469"/>
      <c r="J19" s="1529"/>
      <c r="K19" s="333"/>
      <c r="L19" s="322" t="s">
        <v>22</v>
      </c>
      <c r="M19" s="325">
        <v>46023</v>
      </c>
      <c r="N19" s="366" t="s">
        <v>23</v>
      </c>
      <c r="O19" s="1466"/>
      <c r="P19" s="326"/>
    </row>
    <row r="20" spans="1:17" s="230" customFormat="1" ht="39.950000000000003" customHeight="1" x14ac:dyDescent="0.2">
      <c r="A20" s="948"/>
      <c r="B20" s="1210" t="s">
        <v>89</v>
      </c>
      <c r="C20" s="1180" t="s">
        <v>90</v>
      </c>
      <c r="D20" s="1211" t="s">
        <v>85</v>
      </c>
      <c r="E20" s="1320" t="s">
        <v>1</v>
      </c>
      <c r="F20" s="1458"/>
      <c r="G20" s="1451"/>
      <c r="H20" s="1446"/>
      <c r="I20" s="1469"/>
      <c r="J20" s="1529"/>
      <c r="K20" s="333"/>
      <c r="L20" s="322" t="s">
        <v>22</v>
      </c>
      <c r="M20" s="325">
        <v>46069</v>
      </c>
      <c r="N20" s="366" t="s">
        <v>23</v>
      </c>
      <c r="O20" s="1466"/>
      <c r="P20" s="326"/>
    </row>
    <row r="21" spans="1:17" s="230" customFormat="1" ht="39.950000000000003" customHeight="1" x14ac:dyDescent="0.2">
      <c r="A21" s="948"/>
      <c r="B21" s="1213" t="s">
        <v>91</v>
      </c>
      <c r="C21" s="1214" t="s">
        <v>92</v>
      </c>
      <c r="D21" s="1215" t="s">
        <v>85</v>
      </c>
      <c r="E21" s="1320" t="s">
        <v>1</v>
      </c>
      <c r="F21" s="1459"/>
      <c r="G21" s="1449"/>
      <c r="H21" s="1447"/>
      <c r="I21" s="1470"/>
      <c r="J21" s="1530"/>
      <c r="K21" s="333"/>
      <c r="L21" s="322" t="s">
        <v>22</v>
      </c>
      <c r="M21" s="325">
        <v>46069</v>
      </c>
      <c r="N21" s="366" t="s">
        <v>23</v>
      </c>
      <c r="O21" s="1467"/>
      <c r="P21" s="326"/>
    </row>
    <row r="22" spans="1:17" s="230" customFormat="1" ht="39.950000000000003" customHeight="1" x14ac:dyDescent="0.2">
      <c r="A22" s="948"/>
      <c r="B22" s="1219" t="s">
        <v>93</v>
      </c>
      <c r="C22" s="1220" t="s">
        <v>94</v>
      </c>
      <c r="D22" s="1233" t="s">
        <v>95</v>
      </c>
      <c r="E22" s="1320" t="s">
        <v>1</v>
      </c>
      <c r="F22" s="1457">
        <v>2</v>
      </c>
      <c r="G22" s="1448">
        <v>1</v>
      </c>
      <c r="H22" s="1445">
        <f>COUNTIF(E22:E23, "S")</f>
        <v>0</v>
      </c>
      <c r="I22" s="1468">
        <f>COUNTIFS($D:$D,"*JACK / RAT ADAPTER *",$E:$E,"Serviceable") / COUNTIFS($D:$D,"*JACK / RAT ADAPTER *")</f>
        <v>1</v>
      </c>
      <c r="J22" s="335">
        <f>IF(H22/G22&gt;1,1,H22/G22)</f>
        <v>0</v>
      </c>
      <c r="K22" s="333"/>
      <c r="L22" s="334" t="s">
        <v>66</v>
      </c>
      <c r="M22" s="325">
        <v>46052</v>
      </c>
      <c r="N22" s="366" t="s">
        <v>23</v>
      </c>
      <c r="O22" s="1465" t="s">
        <v>24</v>
      </c>
      <c r="P22" s="326"/>
    </row>
    <row r="23" spans="1:17" s="230" customFormat="1" ht="39.950000000000003" customHeight="1" x14ac:dyDescent="0.2">
      <c r="A23" s="948"/>
      <c r="B23" s="1154" t="s">
        <v>96</v>
      </c>
      <c r="C23" s="1155" t="s">
        <v>97</v>
      </c>
      <c r="D23" s="1163" t="s">
        <v>95</v>
      </c>
      <c r="E23" s="1320" t="s">
        <v>1</v>
      </c>
      <c r="F23" s="1459"/>
      <c r="G23" s="1449"/>
      <c r="H23" s="1447"/>
      <c r="I23" s="1470"/>
      <c r="J23" s="335"/>
      <c r="K23" s="333"/>
      <c r="L23" s="334" t="s">
        <v>66</v>
      </c>
      <c r="M23" s="325">
        <v>46068</v>
      </c>
      <c r="N23" s="366" t="s">
        <v>23</v>
      </c>
      <c r="O23" s="1467"/>
      <c r="P23" s="326"/>
    </row>
    <row r="24" spans="1:17" s="230" customFormat="1" ht="39.950000000000003" customHeight="1" x14ac:dyDescent="0.2">
      <c r="A24" s="948"/>
      <c r="B24" s="1156" t="s">
        <v>98</v>
      </c>
      <c r="C24" s="1157" t="s">
        <v>99</v>
      </c>
      <c r="D24" s="1162" t="s">
        <v>100</v>
      </c>
      <c r="E24" s="1320" t="s">
        <v>1</v>
      </c>
      <c r="F24" s="1457">
        <v>4</v>
      </c>
      <c r="G24" s="1448">
        <v>1</v>
      </c>
      <c r="H24" s="1445">
        <f>COUNTIF(E24:E27,"S")</f>
        <v>0</v>
      </c>
      <c r="I24" s="1468">
        <f>COUNTIFS($D:$D,"*4920-01-524-6874*",$E:$E,"Serviceable") / COUNTIFS($D:$D,"*4920-01-524-6874*")</f>
        <v>0.75</v>
      </c>
      <c r="J24" s="335">
        <f>IF(H24/G24&gt;1,1,H24/G24)</f>
        <v>0</v>
      </c>
      <c r="K24" s="337"/>
      <c r="L24" s="322" t="s">
        <v>66</v>
      </c>
      <c r="M24" s="325">
        <v>46085</v>
      </c>
      <c r="N24" s="364" t="s">
        <v>23</v>
      </c>
      <c r="O24" s="1465" t="s">
        <v>68</v>
      </c>
      <c r="P24" s="326"/>
    </row>
    <row r="25" spans="1:17" s="230" customFormat="1" ht="39.950000000000003" customHeight="1" x14ac:dyDescent="0.2">
      <c r="A25" s="948"/>
      <c r="B25" s="1168" t="s">
        <v>101</v>
      </c>
      <c r="C25" s="1164" t="s">
        <v>102</v>
      </c>
      <c r="D25" s="1192" t="s">
        <v>100</v>
      </c>
      <c r="E25" s="1320" t="s">
        <v>1</v>
      </c>
      <c r="F25" s="1458"/>
      <c r="G25" s="1451"/>
      <c r="H25" s="1446"/>
      <c r="I25" s="1469"/>
      <c r="J25" s="336"/>
      <c r="K25" s="337"/>
      <c r="L25" s="322" t="s">
        <v>58</v>
      </c>
      <c r="M25" s="447">
        <v>45551</v>
      </c>
      <c r="N25" s="364" t="s">
        <v>23</v>
      </c>
      <c r="O25" s="1466"/>
      <c r="P25" s="326"/>
    </row>
    <row r="26" spans="1:17" s="230" customFormat="1" ht="39.950000000000003" customHeight="1" x14ac:dyDescent="0.2">
      <c r="A26" s="948"/>
      <c r="B26" s="1176" t="s">
        <v>103</v>
      </c>
      <c r="C26" s="1164" t="s">
        <v>104</v>
      </c>
      <c r="D26" s="1192" t="s">
        <v>100</v>
      </c>
      <c r="E26" s="1320" t="s">
        <v>1</v>
      </c>
      <c r="F26" s="1458"/>
      <c r="G26" s="1451"/>
      <c r="H26" s="1446"/>
      <c r="I26" s="1469"/>
      <c r="J26" s="336"/>
      <c r="K26" s="337"/>
      <c r="L26" s="322" t="s">
        <v>66</v>
      </c>
      <c r="M26" s="325">
        <v>45551</v>
      </c>
      <c r="N26" s="367" t="s">
        <v>23</v>
      </c>
      <c r="O26" s="1466"/>
      <c r="P26" s="326"/>
      <c r="Q26" s="230" t="s">
        <v>105</v>
      </c>
    </row>
    <row r="27" spans="1:17" s="230" customFormat="1" ht="39.950000000000003" customHeight="1" x14ac:dyDescent="0.2">
      <c r="A27" s="948"/>
      <c r="B27" s="1158" t="s">
        <v>106</v>
      </c>
      <c r="C27" s="1159" t="s">
        <v>107</v>
      </c>
      <c r="D27" s="1195" t="s">
        <v>100</v>
      </c>
      <c r="E27" s="1320" t="s">
        <v>2</v>
      </c>
      <c r="F27" s="1459"/>
      <c r="G27" s="1449"/>
      <c r="H27" s="1447"/>
      <c r="I27" s="1470"/>
      <c r="J27" s="336"/>
      <c r="K27" s="337"/>
      <c r="L27" s="322" t="s">
        <v>66</v>
      </c>
      <c r="M27" s="325">
        <v>45774</v>
      </c>
      <c r="N27" s="364" t="s">
        <v>23</v>
      </c>
      <c r="O27" s="1467"/>
      <c r="P27" s="326"/>
    </row>
    <row r="28" spans="1:17" s="230" customFormat="1" ht="39.950000000000003" customHeight="1" x14ac:dyDescent="0.2">
      <c r="A28" s="948"/>
      <c r="B28" s="1144" t="s">
        <v>108</v>
      </c>
      <c r="C28" s="1144" t="s">
        <v>109</v>
      </c>
      <c r="D28" s="1170" t="s">
        <v>110</v>
      </c>
      <c r="E28" s="1320" t="s">
        <v>1</v>
      </c>
      <c r="F28" s="1457">
        <v>2</v>
      </c>
      <c r="G28" s="1448">
        <v>1</v>
      </c>
      <c r="H28" s="1445">
        <f>COUNTIF(E28:E31,"S")</f>
        <v>0</v>
      </c>
      <c r="I28" s="1468">
        <f>COUNTIFS($D:$D,"*1730-01-512-7155*",$E:$E,"Serviceable") / COUNTIFS($D:$D,"*1730-01-512-7155*")</f>
        <v>1</v>
      </c>
      <c r="J28" s="335">
        <f>IF(H28/G28&gt;1,1,H28/G28)</f>
        <v>0</v>
      </c>
      <c r="K28" s="337"/>
      <c r="L28" s="322" t="s">
        <v>66</v>
      </c>
      <c r="M28" s="325">
        <v>46033</v>
      </c>
      <c r="N28" s="368" t="s">
        <v>27</v>
      </c>
      <c r="O28" s="1465" t="s">
        <v>24</v>
      </c>
      <c r="P28" s="326"/>
    </row>
    <row r="29" spans="1:17" s="230" customFormat="1" ht="39.950000000000003" customHeight="1" x14ac:dyDescent="0.2">
      <c r="A29" s="948"/>
      <c r="B29" s="1145" t="s">
        <v>111</v>
      </c>
      <c r="C29" s="1145" t="s">
        <v>112</v>
      </c>
      <c r="D29" s="1170" t="s">
        <v>110</v>
      </c>
      <c r="E29" s="1320" t="s">
        <v>1</v>
      </c>
      <c r="F29" s="1458"/>
      <c r="G29" s="1451"/>
      <c r="H29" s="1446"/>
      <c r="I29" s="1469"/>
      <c r="J29" s="335"/>
      <c r="K29" s="333"/>
      <c r="L29" s="322" t="s">
        <v>71</v>
      </c>
      <c r="M29" s="325">
        <v>46113</v>
      </c>
      <c r="N29" s="366" t="s">
        <v>32</v>
      </c>
      <c r="O29" s="1466"/>
      <c r="P29" s="326"/>
    </row>
    <row r="30" spans="1:17" s="230" customFormat="1" ht="39.950000000000003" customHeight="1" x14ac:dyDescent="0.2">
      <c r="A30" s="948"/>
      <c r="B30" s="1145" t="s">
        <v>113</v>
      </c>
      <c r="C30" s="1177" t="s">
        <v>114</v>
      </c>
      <c r="D30" s="1170" t="s">
        <v>110</v>
      </c>
      <c r="E30" s="1320" t="s">
        <v>1</v>
      </c>
      <c r="F30" s="1458"/>
      <c r="G30" s="1451"/>
      <c r="H30" s="1446"/>
      <c r="I30" s="1469"/>
      <c r="J30" s="335"/>
      <c r="K30" s="333"/>
      <c r="L30" s="322" t="s">
        <v>22</v>
      </c>
      <c r="M30" s="325">
        <v>45906</v>
      </c>
      <c r="N30" s="366" t="s">
        <v>23</v>
      </c>
      <c r="O30" s="1466"/>
      <c r="P30" s="326"/>
    </row>
    <row r="31" spans="1:17" s="230" customFormat="1" ht="39.950000000000003" customHeight="1" x14ac:dyDescent="0.2">
      <c r="A31" s="948"/>
      <c r="B31" s="1145" t="s">
        <v>115</v>
      </c>
      <c r="C31" s="1145" t="s">
        <v>116</v>
      </c>
      <c r="D31" s="1170" t="s">
        <v>110</v>
      </c>
      <c r="E31" s="1320" t="s">
        <v>1</v>
      </c>
      <c r="F31" s="1459"/>
      <c r="G31" s="1449"/>
      <c r="H31" s="1447"/>
      <c r="I31" s="1470"/>
      <c r="J31" s="335"/>
      <c r="K31" s="333"/>
      <c r="L31" s="322" t="s">
        <v>22</v>
      </c>
      <c r="M31" s="447">
        <v>45849</v>
      </c>
      <c r="N31" s="369" t="s">
        <v>27</v>
      </c>
      <c r="O31" s="1467"/>
      <c r="P31" s="326"/>
    </row>
    <row r="32" spans="1:17" s="230" customFormat="1" ht="39.75" customHeight="1" x14ac:dyDescent="0.2">
      <c r="A32" s="948"/>
      <c r="B32" s="1161" t="s">
        <v>117</v>
      </c>
      <c r="C32" s="1161" t="s">
        <v>118</v>
      </c>
      <c r="D32" s="1178" t="s">
        <v>119</v>
      </c>
      <c r="E32" s="1320" t="s">
        <v>1</v>
      </c>
      <c r="F32" s="338">
        <v>1</v>
      </c>
      <c r="G32" s="339">
        <v>1</v>
      </c>
      <c r="H32" s="340">
        <f>COUNTIF(E32,"S")</f>
        <v>0</v>
      </c>
      <c r="I32" s="1337">
        <f>COUNTIFS($D:$D,"*4920-01-504-8127*",$E:$E,"Serviceable") / COUNTIFS($D:$D,"*4920-01-504-8127*")</f>
        <v>1</v>
      </c>
      <c r="J32" s="335">
        <f>IF(H32/G32&gt;1,1,H32/G32)</f>
        <v>0</v>
      </c>
      <c r="K32" s="332"/>
      <c r="L32" s="334" t="s">
        <v>22</v>
      </c>
      <c r="M32" s="325">
        <v>46028</v>
      </c>
      <c r="N32" s="364" t="s">
        <v>27</v>
      </c>
      <c r="O32" s="341" t="s">
        <v>24</v>
      </c>
      <c r="P32" s="326"/>
    </row>
    <row r="33" spans="1:163" s="230" customFormat="1" ht="39.950000000000003" customHeight="1" x14ac:dyDescent="0.2">
      <c r="A33" s="948"/>
      <c r="B33" s="1150" t="s">
        <v>120</v>
      </c>
      <c r="C33" s="1151" t="s">
        <v>121</v>
      </c>
      <c r="D33" s="1225" t="s">
        <v>122</v>
      </c>
      <c r="E33" s="1320" t="s">
        <v>3</v>
      </c>
      <c r="F33" s="1457">
        <v>3</v>
      </c>
      <c r="G33" s="1448">
        <v>1</v>
      </c>
      <c r="H33" s="1445">
        <v>2</v>
      </c>
      <c r="I33" s="1468">
        <f>COUNTIFS($D:$D,"*1730-01-009-0446*",$E:$E,"Serviceable") / COUNTIFS($D:$D,"*1730-01-009-0446*")</f>
        <v>0.33333333333333331</v>
      </c>
      <c r="J33" s="335"/>
      <c r="K33" s="359" t="s">
        <v>123</v>
      </c>
      <c r="L33" s="334" t="s">
        <v>66</v>
      </c>
      <c r="M33" s="325">
        <v>45424</v>
      </c>
      <c r="N33" s="365" t="s">
        <v>23</v>
      </c>
      <c r="O33" s="1465" t="s">
        <v>68</v>
      </c>
      <c r="P33" s="326"/>
    </row>
    <row r="34" spans="1:163" s="230" customFormat="1" ht="39.950000000000003" customHeight="1" x14ac:dyDescent="0.2">
      <c r="A34" s="948"/>
      <c r="B34" s="1152" t="s">
        <v>124</v>
      </c>
      <c r="C34" s="1153" t="s">
        <v>125</v>
      </c>
      <c r="D34" s="1226" t="s">
        <v>122</v>
      </c>
      <c r="E34" s="1320" t="s">
        <v>3</v>
      </c>
      <c r="F34" s="1458"/>
      <c r="G34" s="1451"/>
      <c r="H34" s="1446"/>
      <c r="I34" s="1469"/>
      <c r="J34" s="335">
        <f>IF(H33/G33&gt;1,1,H33/G33)</f>
        <v>1</v>
      </c>
      <c r="K34" s="467" t="s">
        <v>126</v>
      </c>
      <c r="L34" s="322" t="s">
        <v>31</v>
      </c>
      <c r="M34" s="325">
        <v>46179</v>
      </c>
      <c r="N34" s="367" t="s">
        <v>23</v>
      </c>
      <c r="O34" s="1466"/>
      <c r="P34" s="326"/>
    </row>
    <row r="35" spans="1:163" s="230" customFormat="1" ht="39.950000000000003" customHeight="1" x14ac:dyDescent="0.25">
      <c r="A35" s="948"/>
      <c r="B35" s="1174" t="s">
        <v>127</v>
      </c>
      <c r="C35" s="1175" t="s">
        <v>128</v>
      </c>
      <c r="D35" s="1227" t="s">
        <v>122</v>
      </c>
      <c r="E35" s="1320" t="s">
        <v>1</v>
      </c>
      <c r="F35" s="1459"/>
      <c r="G35" s="1449"/>
      <c r="H35" s="1447"/>
      <c r="I35" s="1470"/>
      <c r="J35" s="335"/>
      <c r="K35" s="971" t="s">
        <v>129</v>
      </c>
      <c r="L35" s="336" t="s">
        <v>22</v>
      </c>
      <c r="M35" s="325">
        <v>46004</v>
      </c>
      <c r="N35" s="365" t="s">
        <v>130</v>
      </c>
      <c r="O35" s="1467"/>
      <c r="P35" s="326"/>
    </row>
    <row r="36" spans="1:163" s="230" customFormat="1" ht="48.75" customHeight="1" x14ac:dyDescent="0.2">
      <c r="A36" s="948"/>
      <c r="B36" s="1182" t="s">
        <v>131</v>
      </c>
      <c r="C36" s="1182" t="s">
        <v>132</v>
      </c>
      <c r="D36" s="1196" t="s">
        <v>133</v>
      </c>
      <c r="E36" s="1320" t="s">
        <v>1</v>
      </c>
      <c r="F36" s="338">
        <v>1</v>
      </c>
      <c r="G36" s="339">
        <v>1</v>
      </c>
      <c r="H36" s="340">
        <f>COUNTIF(E36,"S")</f>
        <v>0</v>
      </c>
      <c r="I36" s="1337">
        <f>COUNTIFS($D:$D,"*1730-01-282-1038*",$E:$E,"Serviceable") / COUNTIFS($D:$D,"*1730-01-282-1038*")</f>
        <v>1</v>
      </c>
      <c r="J36" s="335">
        <f>IF(H36/G36&gt;1,1,H36/G36)</f>
        <v>0</v>
      </c>
      <c r="K36" s="333"/>
      <c r="L36" s="334" t="s">
        <v>22</v>
      </c>
      <c r="M36" s="325">
        <v>46055</v>
      </c>
      <c r="N36" s="370" t="s">
        <v>27</v>
      </c>
      <c r="O36" s="341" t="s">
        <v>24</v>
      </c>
      <c r="P36" s="326"/>
    </row>
    <row r="37" spans="1:163" s="230" customFormat="1" ht="39.950000000000003" customHeight="1" x14ac:dyDescent="0.2">
      <c r="A37" s="948"/>
      <c r="B37" s="1150" t="s">
        <v>134</v>
      </c>
      <c r="C37" s="1151" t="s">
        <v>135</v>
      </c>
      <c r="D37" s="1216" t="s">
        <v>136</v>
      </c>
      <c r="E37" s="1320" t="s">
        <v>1</v>
      </c>
      <c r="F37" s="1457">
        <v>3</v>
      </c>
      <c r="G37" s="1448">
        <v>1</v>
      </c>
      <c r="H37" s="1513">
        <v>2</v>
      </c>
      <c r="I37" s="1515">
        <f>COUNTIFS($D:$D,"*FUEL BOWSER*",$E:$E,"Serviceable") / COUNTIFS($D:$D,"*FUEL BOWSER*")</f>
        <v>0.66666666666666663</v>
      </c>
      <c r="J37" s="1333"/>
      <c r="K37" s="359" t="s">
        <v>137</v>
      </c>
      <c r="L37" s="334" t="s">
        <v>66</v>
      </c>
      <c r="M37" s="816">
        <v>2022</v>
      </c>
      <c r="N37" s="366" t="s">
        <v>67</v>
      </c>
      <c r="O37" s="1465" t="s">
        <v>138</v>
      </c>
      <c r="P37" s="326"/>
    </row>
    <row r="38" spans="1:163" s="546" customFormat="1" ht="39.950000000000003" customHeight="1" x14ac:dyDescent="0.3">
      <c r="A38" s="950"/>
      <c r="B38" s="1228" t="s">
        <v>139</v>
      </c>
      <c r="C38" s="1229" t="s">
        <v>140</v>
      </c>
      <c r="D38" s="1218" t="s">
        <v>136</v>
      </c>
      <c r="E38" s="1320" t="s">
        <v>2</v>
      </c>
      <c r="F38" s="1458"/>
      <c r="G38" s="1449"/>
      <c r="H38" s="1514"/>
      <c r="I38" s="1516"/>
      <c r="J38" s="1338"/>
      <c r="K38" s="1359" t="s">
        <v>141</v>
      </c>
      <c r="L38" s="324" t="s">
        <v>66</v>
      </c>
      <c r="M38" s="324">
        <v>2022</v>
      </c>
      <c r="N38" s="547" t="s">
        <v>38</v>
      </c>
      <c r="O38" s="1466"/>
      <c r="P38" s="544"/>
      <c r="Q38" s="545"/>
      <c r="R38" s="545"/>
      <c r="S38" s="545"/>
      <c r="T38" s="545"/>
      <c r="U38" s="545"/>
      <c r="V38" s="545"/>
      <c r="W38" s="545"/>
      <c r="X38" s="545"/>
      <c r="Y38" s="545"/>
      <c r="Z38" s="545"/>
      <c r="AA38" s="545"/>
      <c r="AB38" s="545"/>
      <c r="AC38" s="545"/>
      <c r="AD38" s="545"/>
      <c r="AE38" s="545"/>
      <c r="AF38" s="545"/>
      <c r="AG38" s="545"/>
      <c r="AH38" s="545"/>
      <c r="AI38" s="545"/>
      <c r="AJ38" s="545"/>
      <c r="AK38" s="545"/>
      <c r="AL38" s="545"/>
      <c r="AM38" s="545"/>
      <c r="AN38" s="545"/>
      <c r="AO38" s="545"/>
      <c r="AP38" s="545"/>
      <c r="AQ38" s="545"/>
      <c r="AR38" s="545"/>
      <c r="AS38" s="545"/>
      <c r="AT38" s="545"/>
      <c r="AU38" s="545"/>
      <c r="AV38" s="545"/>
      <c r="AW38" s="545"/>
      <c r="AX38" s="545"/>
      <c r="AY38" s="545"/>
      <c r="AZ38" s="545"/>
      <c r="BA38" s="545"/>
      <c r="BB38" s="545"/>
      <c r="BC38" s="545"/>
      <c r="BD38" s="545"/>
      <c r="BE38" s="545"/>
      <c r="BF38" s="545"/>
      <c r="BG38" s="545"/>
      <c r="BH38" s="545"/>
      <c r="BI38" s="545"/>
      <c r="BJ38" s="545"/>
      <c r="BK38" s="545"/>
      <c r="BL38" s="545"/>
      <c r="BM38" s="545"/>
      <c r="BN38" s="545"/>
      <c r="BO38" s="545"/>
      <c r="BP38" s="545"/>
      <c r="BQ38" s="545"/>
      <c r="BR38" s="545"/>
      <c r="BS38" s="545"/>
      <c r="BT38" s="545"/>
      <c r="BU38" s="545"/>
      <c r="BV38" s="545"/>
      <c r="BW38" s="545"/>
      <c r="BX38" s="545"/>
      <c r="BY38" s="545"/>
      <c r="BZ38" s="545"/>
      <c r="CA38" s="545"/>
      <c r="CB38" s="545"/>
      <c r="CC38" s="545"/>
      <c r="CD38" s="545"/>
      <c r="CE38" s="545"/>
      <c r="CF38" s="545"/>
      <c r="CG38" s="545"/>
      <c r="CH38" s="545"/>
      <c r="CI38" s="545"/>
      <c r="CJ38" s="545"/>
      <c r="CK38" s="545"/>
      <c r="CL38" s="545"/>
      <c r="CM38" s="545"/>
      <c r="CN38" s="545"/>
      <c r="CO38" s="545"/>
      <c r="CP38" s="545"/>
      <c r="CQ38" s="545"/>
      <c r="CR38" s="545"/>
      <c r="CS38" s="545"/>
      <c r="CT38" s="545"/>
      <c r="CU38" s="545"/>
      <c r="CV38" s="545"/>
      <c r="CW38" s="545"/>
      <c r="CX38" s="545"/>
      <c r="CY38" s="545"/>
      <c r="CZ38" s="545"/>
      <c r="DA38" s="545"/>
      <c r="DB38" s="545"/>
      <c r="DC38" s="545"/>
      <c r="DD38" s="545"/>
      <c r="DE38" s="545"/>
      <c r="DF38" s="545"/>
      <c r="DG38" s="545"/>
      <c r="DH38" s="545"/>
      <c r="DI38" s="545"/>
      <c r="DJ38" s="545"/>
      <c r="DK38" s="545"/>
      <c r="DL38" s="545"/>
      <c r="DM38" s="545"/>
      <c r="DN38" s="545"/>
      <c r="DO38" s="545"/>
      <c r="DP38" s="545"/>
      <c r="DQ38" s="545"/>
      <c r="DR38" s="545"/>
      <c r="DS38" s="545"/>
      <c r="DT38" s="545"/>
      <c r="DU38" s="545"/>
      <c r="DV38" s="545"/>
      <c r="DW38" s="545"/>
      <c r="DX38" s="545"/>
      <c r="DY38" s="545"/>
      <c r="DZ38" s="545"/>
      <c r="EA38" s="545"/>
      <c r="EB38" s="545"/>
      <c r="EC38" s="545"/>
      <c r="ED38" s="545"/>
      <c r="EE38" s="545"/>
      <c r="EF38" s="545"/>
      <c r="EG38" s="545"/>
      <c r="EH38" s="545"/>
      <c r="EI38" s="545"/>
      <c r="EJ38" s="545"/>
      <c r="EK38" s="545"/>
      <c r="EL38" s="545"/>
      <c r="EM38" s="545"/>
      <c r="EN38" s="545"/>
      <c r="EO38" s="545"/>
      <c r="EP38" s="545"/>
      <c r="EQ38" s="545"/>
      <c r="ER38" s="545"/>
      <c r="ES38" s="545"/>
      <c r="ET38" s="545"/>
      <c r="EU38" s="545"/>
      <c r="EV38" s="545"/>
      <c r="EW38" s="545"/>
      <c r="EX38" s="545"/>
      <c r="EY38" s="545"/>
      <c r="EZ38" s="545"/>
      <c r="FA38" s="545"/>
      <c r="FB38" s="545"/>
      <c r="FC38" s="545"/>
      <c r="FD38" s="545"/>
      <c r="FE38" s="545"/>
      <c r="FF38" s="545"/>
      <c r="FG38" s="545"/>
    </row>
    <row r="39" spans="1:163" s="230" customFormat="1" ht="39.950000000000003" customHeight="1" x14ac:dyDescent="0.25">
      <c r="A39" s="948"/>
      <c r="B39" s="1183" t="s">
        <v>142</v>
      </c>
      <c r="C39" s="1183" t="s">
        <v>143</v>
      </c>
      <c r="D39" s="1184" t="s">
        <v>144</v>
      </c>
      <c r="E39" s="1320" t="s">
        <v>1</v>
      </c>
      <c r="F39" s="1459"/>
      <c r="G39" s="339">
        <v>1</v>
      </c>
      <c r="H39" s="340">
        <f>COUNTIF(E39,"S")</f>
        <v>0</v>
      </c>
      <c r="I39" s="1517"/>
      <c r="J39" s="348">
        <f>IF(H39/G39&gt;1,1,H39/G39)</f>
        <v>0</v>
      </c>
      <c r="K39" s="1357" t="s">
        <v>145</v>
      </c>
      <c r="L39" s="1358" t="s">
        <v>52</v>
      </c>
      <c r="M39" s="447">
        <v>46149</v>
      </c>
      <c r="N39" s="364" t="s">
        <v>23</v>
      </c>
      <c r="O39" s="1467"/>
      <c r="P39" s="326"/>
    </row>
    <row r="40" spans="1:163" s="230" customFormat="1" ht="39.950000000000003" customHeight="1" x14ac:dyDescent="0.2">
      <c r="A40" s="948"/>
      <c r="B40" s="1150" t="s">
        <v>146</v>
      </c>
      <c r="C40" s="1151" t="s">
        <v>147</v>
      </c>
      <c r="D40" s="1216" t="s">
        <v>148</v>
      </c>
      <c r="E40" s="1320" t="s">
        <v>1</v>
      </c>
      <c r="F40" s="1501">
        <v>3</v>
      </c>
      <c r="G40" s="1448">
        <v>1</v>
      </c>
      <c r="H40" s="1445">
        <v>1</v>
      </c>
      <c r="I40" s="1468">
        <f>COUNTIFS($D:$D,"*CONTINUOUS AIR START UNIT*",$E:$E,"Serviceable") / COUNTIFS($D:$D,"*CONTINUOUS AIR START UNIT*")</f>
        <v>1</v>
      </c>
      <c r="J40" s="335"/>
      <c r="K40" s="1360" t="s">
        <v>137</v>
      </c>
      <c r="L40" s="322" t="s">
        <v>58</v>
      </c>
      <c r="M40" s="447">
        <v>45883</v>
      </c>
      <c r="N40" s="364" t="s">
        <v>38</v>
      </c>
      <c r="O40" s="1465" t="s">
        <v>149</v>
      </c>
      <c r="P40" s="326"/>
    </row>
    <row r="41" spans="1:163" s="230" customFormat="1" ht="39" customHeight="1" x14ac:dyDescent="0.2">
      <c r="A41" s="948"/>
      <c r="B41" s="1152" t="s">
        <v>150</v>
      </c>
      <c r="C41" s="1153" t="s">
        <v>151</v>
      </c>
      <c r="D41" s="1217" t="s">
        <v>148</v>
      </c>
      <c r="E41" s="1320" t="s">
        <v>1</v>
      </c>
      <c r="F41" s="1502"/>
      <c r="G41" s="1451"/>
      <c r="H41" s="1446"/>
      <c r="I41" s="1469"/>
      <c r="J41" s="335"/>
      <c r="K41" s="342"/>
      <c r="L41" s="322" t="s">
        <v>52</v>
      </c>
      <c r="M41" s="325">
        <v>46087</v>
      </c>
      <c r="N41" s="364" t="s">
        <v>23</v>
      </c>
      <c r="O41" s="1466"/>
      <c r="P41" s="326"/>
    </row>
    <row r="42" spans="1:163" s="230" customFormat="1" ht="39" customHeight="1" x14ac:dyDescent="0.2">
      <c r="A42" s="948"/>
      <c r="B42" s="1174" t="s">
        <v>152</v>
      </c>
      <c r="C42" s="1175" t="s">
        <v>153</v>
      </c>
      <c r="D42" s="1218" t="s">
        <v>148</v>
      </c>
      <c r="E42" s="1320" t="s">
        <v>1</v>
      </c>
      <c r="F42" s="1503"/>
      <c r="G42" s="1449"/>
      <c r="H42" s="1447"/>
      <c r="I42" s="1470"/>
      <c r="J42" s="335">
        <f>IF(H42/G40&gt;1,1,H42/G40)</f>
        <v>0</v>
      </c>
      <c r="K42" s="333"/>
      <c r="L42" s="322" t="s">
        <v>31</v>
      </c>
      <c r="M42" s="447">
        <v>46485</v>
      </c>
      <c r="N42" s="368" t="s">
        <v>32</v>
      </c>
      <c r="O42" s="1467"/>
      <c r="P42" s="326"/>
    </row>
    <row r="43" spans="1:163" s="230" customFormat="1" ht="39.950000000000003" customHeight="1" x14ac:dyDescent="0.2">
      <c r="A43" s="948"/>
      <c r="B43" s="1183" t="s">
        <v>154</v>
      </c>
      <c r="C43" s="1183" t="s">
        <v>155</v>
      </c>
      <c r="D43" s="1184" t="s">
        <v>156</v>
      </c>
      <c r="E43" s="1320" t="s">
        <v>1</v>
      </c>
      <c r="F43" s="338">
        <v>1</v>
      </c>
      <c r="G43" s="339">
        <v>1</v>
      </c>
      <c r="H43" s="340">
        <v>1</v>
      </c>
      <c r="I43" s="1337">
        <f>H43/F43</f>
        <v>1</v>
      </c>
      <c r="J43" s="335">
        <f>IF(H43/G43&gt;1,1,H43/G43)</f>
        <v>1</v>
      </c>
      <c r="K43" s="333"/>
      <c r="L43" s="322" t="s">
        <v>22</v>
      </c>
      <c r="M43" s="325">
        <v>45931</v>
      </c>
      <c r="N43" s="366" t="s">
        <v>63</v>
      </c>
      <c r="O43" s="341" t="s">
        <v>138</v>
      </c>
      <c r="P43" s="326"/>
    </row>
    <row r="44" spans="1:163" s="230" customFormat="1" ht="39.950000000000003" customHeight="1" x14ac:dyDescent="0.2">
      <c r="A44" s="948"/>
      <c r="B44" s="1146" t="s">
        <v>157</v>
      </c>
      <c r="C44" s="1230" t="s">
        <v>158</v>
      </c>
      <c r="D44" s="1216" t="s">
        <v>159</v>
      </c>
      <c r="E44" s="1320" t="s">
        <v>2</v>
      </c>
      <c r="F44" s="1471">
        <v>5</v>
      </c>
      <c r="G44" s="1504">
        <v>1</v>
      </c>
      <c r="H44" s="1507">
        <f>COUNTIF(E44:E48,"Servicable.")</f>
        <v>0</v>
      </c>
      <c r="I44" s="1468">
        <f>COUNTIFS($D:$D,"*FUEL CELL VENTILATION *",$E:$E,"Serviceable") / COUNTIFS($D:$D,"*FUEL CELL VENTILATION *")</f>
        <v>1</v>
      </c>
      <c r="J44" s="335">
        <f>IF(H44/G44&gt;1,1,H44/G44)</f>
        <v>0</v>
      </c>
      <c r="K44" s="333" t="s">
        <v>160</v>
      </c>
      <c r="L44" s="322" t="s">
        <v>52</v>
      </c>
      <c r="M44" s="325">
        <v>46159</v>
      </c>
      <c r="N44" s="366" t="s">
        <v>23</v>
      </c>
      <c r="O44" s="1510" t="s">
        <v>24</v>
      </c>
      <c r="P44" s="326"/>
    </row>
    <row r="45" spans="1:163" s="230" customFormat="1" ht="39.950000000000003" customHeight="1" x14ac:dyDescent="0.2">
      <c r="A45" s="948"/>
      <c r="B45" s="1179" t="s">
        <v>161</v>
      </c>
      <c r="C45" s="1231" t="s">
        <v>162</v>
      </c>
      <c r="D45" s="1217" t="s">
        <v>159</v>
      </c>
      <c r="E45" s="1320" t="s">
        <v>1</v>
      </c>
      <c r="F45" s="1486"/>
      <c r="G45" s="1505"/>
      <c r="H45" s="1508"/>
      <c r="I45" s="1469"/>
      <c r="J45" s="335"/>
      <c r="K45" s="333" t="s">
        <v>163</v>
      </c>
      <c r="L45" s="322" t="s">
        <v>31</v>
      </c>
      <c r="M45" s="325">
        <v>46311</v>
      </c>
      <c r="N45" s="366" t="s">
        <v>38</v>
      </c>
      <c r="O45" s="1511"/>
      <c r="P45" s="326"/>
    </row>
    <row r="46" spans="1:163" s="230" customFormat="1" ht="39.950000000000003" customHeight="1" x14ac:dyDescent="0.3">
      <c r="A46" s="948"/>
      <c r="B46" s="1179" t="s">
        <v>164</v>
      </c>
      <c r="C46" s="1231" t="s">
        <v>165</v>
      </c>
      <c r="D46" s="1217" t="s">
        <v>159</v>
      </c>
      <c r="E46" s="1320" t="s">
        <v>1</v>
      </c>
      <c r="F46" s="1486"/>
      <c r="G46" s="1505"/>
      <c r="H46" s="1508"/>
      <c r="I46" s="1469"/>
      <c r="J46" s="335"/>
      <c r="K46" s="988"/>
      <c r="L46" s="322" t="s">
        <v>58</v>
      </c>
      <c r="M46" s="325">
        <v>46179</v>
      </c>
      <c r="N46" s="366" t="s">
        <v>32</v>
      </c>
      <c r="O46" s="1511"/>
      <c r="P46" s="326"/>
    </row>
    <row r="47" spans="1:163" s="233" customFormat="1" ht="39.950000000000003" customHeight="1" x14ac:dyDescent="0.2">
      <c r="A47" s="951"/>
      <c r="B47" s="1179" t="s">
        <v>166</v>
      </c>
      <c r="C47" s="1231" t="s">
        <v>167</v>
      </c>
      <c r="D47" s="1217" t="s">
        <v>159</v>
      </c>
      <c r="E47" s="1320" t="s">
        <v>3</v>
      </c>
      <c r="F47" s="1486"/>
      <c r="G47" s="1505"/>
      <c r="H47" s="1508"/>
      <c r="I47" s="1469"/>
      <c r="J47" s="335"/>
      <c r="K47" s="333" t="s">
        <v>168</v>
      </c>
      <c r="L47" s="322" t="s">
        <v>62</v>
      </c>
      <c r="M47" s="325">
        <v>46185</v>
      </c>
      <c r="N47" s="365" t="s">
        <v>38</v>
      </c>
      <c r="O47" s="1511"/>
      <c r="P47" s="326"/>
    </row>
    <row r="48" spans="1:163" s="233" customFormat="1" ht="39.950000000000003" customHeight="1" x14ac:dyDescent="0.2">
      <c r="A48" s="951"/>
      <c r="B48" s="1148" t="s">
        <v>169</v>
      </c>
      <c r="C48" s="1232" t="s">
        <v>170</v>
      </c>
      <c r="D48" s="1218" t="s">
        <v>171</v>
      </c>
      <c r="E48" s="1320" t="s">
        <v>1</v>
      </c>
      <c r="F48" s="1472"/>
      <c r="G48" s="1506"/>
      <c r="H48" s="1509"/>
      <c r="I48" s="1470"/>
      <c r="J48" s="335"/>
      <c r="K48" s="333"/>
      <c r="L48" s="322" t="s">
        <v>66</v>
      </c>
      <c r="M48" s="325">
        <v>45492</v>
      </c>
      <c r="N48" s="366"/>
      <c r="O48" s="1512"/>
      <c r="P48" s="326"/>
    </row>
    <row r="49" spans="1:42" s="230" customFormat="1" ht="41.25" customHeight="1" x14ac:dyDescent="0.2">
      <c r="A49" s="948"/>
      <c r="B49" s="1183" t="s">
        <v>172</v>
      </c>
      <c r="C49" s="1183" t="s">
        <v>173</v>
      </c>
      <c r="D49" s="1184" t="s">
        <v>174</v>
      </c>
      <c r="E49" s="1320" t="s">
        <v>1</v>
      </c>
      <c r="F49" s="329">
        <v>1</v>
      </c>
      <c r="G49" s="537">
        <v>1</v>
      </c>
      <c r="H49" s="330">
        <f>COUNTIF(E49:E49,"S")</f>
        <v>0</v>
      </c>
      <c r="I49" s="1337">
        <f>COUNTIFS($D:$D,"*PUMPING UNIT, HYDRAULIC DIESEL ENGINE DRIVEN *",$E:$E,"Serviceable") / COUNTIFS($D:$D,"*PUMPING UNIT, HYDRAULIC DIESEL ENGINE DRIVEN *")</f>
        <v>1</v>
      </c>
      <c r="J49" s="335">
        <f>IF(H49/G49&gt;1,1,H49/G49)</f>
        <v>0</v>
      </c>
      <c r="K49" s="345"/>
      <c r="L49" s="336" t="s">
        <v>52</v>
      </c>
      <c r="M49" s="325">
        <v>45938</v>
      </c>
      <c r="N49" s="364" t="s">
        <v>23</v>
      </c>
      <c r="O49" s="341" t="s">
        <v>68</v>
      </c>
      <c r="P49" s="326"/>
    </row>
    <row r="50" spans="1:42" s="230" customFormat="1" ht="39.950000000000003" customHeight="1" x14ac:dyDescent="0.2">
      <c r="A50" s="948"/>
      <c r="B50" s="1186" t="s">
        <v>175</v>
      </c>
      <c r="C50" s="1187" t="s">
        <v>176</v>
      </c>
      <c r="D50" s="1188" t="s">
        <v>177</v>
      </c>
      <c r="E50" s="1320" t="s">
        <v>2</v>
      </c>
      <c r="F50" s="338">
        <v>1</v>
      </c>
      <c r="G50" s="339">
        <v>1</v>
      </c>
      <c r="H50" s="340">
        <f>COUNTIF(E50,"S")</f>
        <v>0</v>
      </c>
      <c r="I50" s="1337">
        <f>COUNTIFS($D:$D,"*TRUCK, LIFT, NOSE LANDING GEAR*",$E:$E,"Serviceable") / COUNTIFS($D:$D,"*TRUCK, LIFT, NOSE LANDING GEAR*")</f>
        <v>0.33333333333333331</v>
      </c>
      <c r="J50" s="335">
        <f>IF(H50/G50&gt;1,1,H50/G50)</f>
        <v>0</v>
      </c>
      <c r="K50" s="333"/>
      <c r="L50" s="322" t="s">
        <v>22</v>
      </c>
      <c r="M50" s="447">
        <v>45851</v>
      </c>
      <c r="N50" s="365" t="s">
        <v>27</v>
      </c>
      <c r="O50" s="341" t="s">
        <v>24</v>
      </c>
      <c r="P50" s="326"/>
    </row>
    <row r="51" spans="1:42" s="230" customFormat="1" ht="39.950000000000003" customHeight="1" x14ac:dyDescent="0.2">
      <c r="A51" s="948"/>
      <c r="B51" s="1183" t="s">
        <v>178</v>
      </c>
      <c r="C51" s="1183" t="s">
        <v>179</v>
      </c>
      <c r="D51" s="1184" t="s">
        <v>180</v>
      </c>
      <c r="E51" s="1320" t="s">
        <v>2</v>
      </c>
      <c r="F51" s="322">
        <v>1</v>
      </c>
      <c r="G51" s="322">
        <v>1</v>
      </c>
      <c r="H51" s="322">
        <f>COUNTIF(E51,"S")</f>
        <v>0</v>
      </c>
      <c r="I51" s="1340">
        <f>COUNTIFS($D:$D,"*STAND, MAINTENANCE - ENGINE INLET ASSEMBLY FOR C-17*",$E:$E,"Serviceable") / COUNTIFS($D:$D,"*STAND, MAINTENANCE - ENGINE INLET ASSEMBLY FOR C-17*")</f>
        <v>0</v>
      </c>
      <c r="J51" s="331">
        <f>IF(H51/G51&gt;1,1,H51/G51)</f>
        <v>0</v>
      </c>
      <c r="K51" s="322"/>
      <c r="L51" s="322" t="s">
        <v>22</v>
      </c>
      <c r="M51" s="448">
        <v>46069</v>
      </c>
      <c r="N51" s="366" t="s">
        <v>38</v>
      </c>
      <c r="O51" s="817" t="s">
        <v>24</v>
      </c>
      <c r="P51" s="326"/>
    </row>
    <row r="52" spans="1:42" s="230" customFormat="1" ht="39.950000000000003" customHeight="1" x14ac:dyDescent="0.2">
      <c r="A52" s="948"/>
      <c r="B52" s="1234" t="s">
        <v>181</v>
      </c>
      <c r="C52" s="1235" t="s">
        <v>182</v>
      </c>
      <c r="D52" s="1193" t="s">
        <v>183</v>
      </c>
      <c r="E52" s="1320" t="s">
        <v>1</v>
      </c>
      <c r="F52" s="338">
        <v>1</v>
      </c>
      <c r="G52" s="339">
        <v>1</v>
      </c>
      <c r="H52" s="340">
        <f>COUNTIF(E52,"S")</f>
        <v>0</v>
      </c>
      <c r="I52" s="1337">
        <f>COUNTIFS($D:$D,"*HOLDER, MAINTENANCE - FAN THRUST REVERSER DUCT *",$E:$E,"Serviceable") / COUNTIFS($D:$D,"*HOLDER, MAINTENANCE - FAN THRUST REVERSER DUCT *")</f>
        <v>1</v>
      </c>
      <c r="J52" s="335">
        <f>IF(H52/G52&gt;1,1,H52/G52)</f>
        <v>0</v>
      </c>
      <c r="K52" s="333"/>
      <c r="L52" s="334" t="s">
        <v>22</v>
      </c>
      <c r="M52" s="325">
        <v>46135</v>
      </c>
      <c r="N52" s="366" t="s">
        <v>63</v>
      </c>
      <c r="O52" s="341" t="s">
        <v>24</v>
      </c>
      <c r="P52" s="326"/>
      <c r="AP52" s="230" t="s">
        <v>184</v>
      </c>
    </row>
    <row r="53" spans="1:42" s="230" customFormat="1" ht="39.950000000000003" customHeight="1" x14ac:dyDescent="0.2">
      <c r="A53" s="948"/>
      <c r="B53" s="1207" t="s">
        <v>185</v>
      </c>
      <c r="C53" s="1208" t="s">
        <v>186</v>
      </c>
      <c r="D53" s="1209" t="s">
        <v>187</v>
      </c>
      <c r="E53" s="1320" t="s">
        <v>3</v>
      </c>
      <c r="F53" s="1457">
        <v>3</v>
      </c>
      <c r="G53" s="1448">
        <v>1</v>
      </c>
      <c r="H53" s="1445">
        <v>3</v>
      </c>
      <c r="I53" s="1468">
        <f>COUNTIFS($D:$D,"*HEATER, DUCT TYPE, PORTABLE*",$E:$E,"Serviceable") / COUNTIFS($D:$D,"*HEATER, DUCT TYPE, PORTABLE*")</f>
        <v>0.33333333333333331</v>
      </c>
      <c r="J53" s="335">
        <f>IF(H53/G53&gt;1,1,H53/G53)</f>
        <v>1</v>
      </c>
      <c r="K53" s="333" t="s">
        <v>188</v>
      </c>
      <c r="L53" s="334" t="s">
        <v>58</v>
      </c>
      <c r="M53" s="325">
        <v>46179</v>
      </c>
      <c r="N53" s="366" t="s">
        <v>23</v>
      </c>
      <c r="O53" s="1465" t="s">
        <v>68</v>
      </c>
      <c r="P53" s="326"/>
    </row>
    <row r="54" spans="1:42" s="230" customFormat="1" ht="39.950000000000003" customHeight="1" x14ac:dyDescent="0.2">
      <c r="A54" s="948"/>
      <c r="B54" s="1210" t="s">
        <v>189</v>
      </c>
      <c r="C54" s="1180" t="s">
        <v>190</v>
      </c>
      <c r="D54" s="1211" t="s">
        <v>187</v>
      </c>
      <c r="E54" s="1320" t="s">
        <v>3</v>
      </c>
      <c r="F54" s="1458"/>
      <c r="G54" s="1451"/>
      <c r="H54" s="1446"/>
      <c r="I54" s="1469"/>
      <c r="J54" s="335"/>
      <c r="K54" s="337" t="s">
        <v>191</v>
      </c>
      <c r="L54" s="322" t="s">
        <v>52</v>
      </c>
      <c r="M54" s="325">
        <v>45877</v>
      </c>
      <c r="N54" s="364" t="s">
        <v>32</v>
      </c>
      <c r="O54" s="1466"/>
      <c r="P54" s="326"/>
    </row>
    <row r="55" spans="1:42" s="230" customFormat="1" ht="39.950000000000003" customHeight="1" x14ac:dyDescent="0.3">
      <c r="A55" s="948"/>
      <c r="B55" s="1236" t="s">
        <v>192</v>
      </c>
      <c r="C55" s="1181" t="s">
        <v>193</v>
      </c>
      <c r="D55" s="1211" t="s">
        <v>194</v>
      </c>
      <c r="E55" s="1320" t="s">
        <v>1</v>
      </c>
      <c r="F55" s="1459"/>
      <c r="G55" s="1449"/>
      <c r="H55" s="1447"/>
      <c r="I55" s="1470"/>
      <c r="J55" s="335"/>
      <c r="K55" s="988"/>
      <c r="L55" s="322" t="s">
        <v>62</v>
      </c>
      <c r="M55" s="325">
        <v>46184</v>
      </c>
      <c r="N55" s="366" t="s">
        <v>23</v>
      </c>
      <c r="O55" s="1467"/>
      <c r="P55" s="326"/>
    </row>
    <row r="56" spans="1:42" s="230" customFormat="1" ht="39.950000000000003" customHeight="1" x14ac:dyDescent="0.2">
      <c r="A56" s="948"/>
      <c r="B56" s="1150" t="s">
        <v>195</v>
      </c>
      <c r="C56" s="1151" t="s">
        <v>196</v>
      </c>
      <c r="D56" s="1216" t="s">
        <v>197</v>
      </c>
      <c r="E56" s="1320" t="s">
        <v>1</v>
      </c>
      <c r="F56" s="1457">
        <v>2</v>
      </c>
      <c r="G56" s="1448">
        <v>1</v>
      </c>
      <c r="H56" s="1445">
        <f>COUNTIF(E56:E57, "S")</f>
        <v>0</v>
      </c>
      <c r="I56" s="1468">
        <f>COUNTIFS($D:$D,"*MOBILE CRANE, PORTA LOADER*",$E:$E,"Serviceable") / COUNTIFS($D:$D,"*MOBILE CRANE, PORTA LOADER*")</f>
        <v>1</v>
      </c>
      <c r="J56" s="335">
        <f>IF(H56/G56&gt;1,1,H56/G56)</f>
        <v>0</v>
      </c>
      <c r="K56" s="333"/>
      <c r="L56" s="334" t="s">
        <v>22</v>
      </c>
      <c r="M56" s="325">
        <v>45856</v>
      </c>
      <c r="N56" s="754" t="s">
        <v>27</v>
      </c>
      <c r="O56" s="1465" t="s">
        <v>24</v>
      </c>
      <c r="P56" s="326"/>
    </row>
    <row r="57" spans="1:42" s="230" customFormat="1" ht="39.950000000000003" customHeight="1" x14ac:dyDescent="0.2">
      <c r="A57" s="948"/>
      <c r="B57" s="1174" t="s">
        <v>198</v>
      </c>
      <c r="C57" s="1175" t="s">
        <v>199</v>
      </c>
      <c r="D57" s="1218" t="s">
        <v>197</v>
      </c>
      <c r="E57" s="1320" t="s">
        <v>1</v>
      </c>
      <c r="F57" s="1459"/>
      <c r="G57" s="1449"/>
      <c r="H57" s="1447"/>
      <c r="I57" s="1470"/>
      <c r="J57" s="335"/>
      <c r="K57" s="337" t="s">
        <v>200</v>
      </c>
      <c r="L57" s="322" t="s">
        <v>22</v>
      </c>
      <c r="M57" s="325">
        <v>45856</v>
      </c>
      <c r="N57" s="755"/>
      <c r="O57" s="1467"/>
      <c r="P57" s="326"/>
    </row>
    <row r="58" spans="1:42" s="230" customFormat="1" ht="42" customHeight="1" x14ac:dyDescent="0.2">
      <c r="A58" s="948"/>
      <c r="B58" s="1237" t="s">
        <v>201</v>
      </c>
      <c r="C58" s="1199" t="s">
        <v>202</v>
      </c>
      <c r="D58" s="1221" t="s">
        <v>203</v>
      </c>
      <c r="E58" s="1320" t="s">
        <v>1</v>
      </c>
      <c r="F58" s="1457">
        <v>6</v>
      </c>
      <c r="G58" s="1448">
        <v>2</v>
      </c>
      <c r="H58" s="1445">
        <v>5</v>
      </c>
      <c r="I58" s="1468">
        <f>COUNTIFS($D:$D,"* TOW BAR *",$E:$E,"Serviceable") / COUNTIFS($D:$D,"* TOW BAR *")</f>
        <v>0.83333333333333337</v>
      </c>
      <c r="J58" s="335">
        <f>IF(H58/G58&gt;1,1,H58/G58)</f>
        <v>1</v>
      </c>
      <c r="K58" s="333" t="s">
        <v>163</v>
      </c>
      <c r="L58" s="322" t="s">
        <v>31</v>
      </c>
      <c r="M58" s="447" t="s">
        <v>204</v>
      </c>
      <c r="N58" s="322" t="s">
        <v>32</v>
      </c>
      <c r="O58" s="1465" t="s">
        <v>68</v>
      </c>
      <c r="P58" s="326"/>
    </row>
    <row r="59" spans="1:42" s="230" customFormat="1" ht="39.950000000000003" customHeight="1" x14ac:dyDescent="0.2">
      <c r="A59" s="948"/>
      <c r="B59" s="1212" t="s">
        <v>205</v>
      </c>
      <c r="C59" s="1198" t="s">
        <v>206</v>
      </c>
      <c r="D59" s="1221" t="s">
        <v>203</v>
      </c>
      <c r="E59" s="1320" t="s">
        <v>3</v>
      </c>
      <c r="F59" s="1458"/>
      <c r="G59" s="1451"/>
      <c r="H59" s="1446"/>
      <c r="I59" s="1469"/>
      <c r="J59" s="335"/>
      <c r="K59" s="345" t="s">
        <v>207</v>
      </c>
      <c r="L59" s="322" t="s">
        <v>62</v>
      </c>
      <c r="M59" s="325">
        <v>46437</v>
      </c>
      <c r="N59" s="755" t="s">
        <v>38</v>
      </c>
      <c r="O59" s="1466"/>
      <c r="P59" s="326"/>
    </row>
    <row r="60" spans="1:42" s="230" customFormat="1" ht="39.950000000000003" customHeight="1" x14ac:dyDescent="0.2">
      <c r="A60" s="948"/>
      <c r="B60" s="1212" t="s">
        <v>208</v>
      </c>
      <c r="C60" s="1198" t="s">
        <v>209</v>
      </c>
      <c r="D60" s="1221" t="s">
        <v>203</v>
      </c>
      <c r="E60" s="1320" t="s">
        <v>1</v>
      </c>
      <c r="F60" s="1458"/>
      <c r="G60" s="1451"/>
      <c r="H60" s="1446"/>
      <c r="I60" s="1469"/>
      <c r="J60" s="335"/>
      <c r="K60" s="333"/>
      <c r="L60" s="322" t="s">
        <v>62</v>
      </c>
      <c r="M60" s="325">
        <v>45982</v>
      </c>
      <c r="N60" s="754" t="s">
        <v>23</v>
      </c>
      <c r="O60" s="1466"/>
      <c r="P60" s="326"/>
    </row>
    <row r="61" spans="1:42" s="230" customFormat="1" ht="39.950000000000003" customHeight="1" x14ac:dyDescent="0.3">
      <c r="A61" s="948"/>
      <c r="B61" s="1212" t="s">
        <v>210</v>
      </c>
      <c r="C61" s="1198" t="s">
        <v>211</v>
      </c>
      <c r="D61" s="1221" t="s">
        <v>203</v>
      </c>
      <c r="E61" s="1320" t="s">
        <v>1</v>
      </c>
      <c r="F61" s="1458"/>
      <c r="G61" s="1451"/>
      <c r="H61" s="1446"/>
      <c r="I61" s="1469"/>
      <c r="J61" s="335"/>
      <c r="K61" s="988"/>
      <c r="L61" s="334" t="s">
        <v>62</v>
      </c>
      <c r="M61" s="325">
        <v>46027</v>
      </c>
      <c r="N61" s="754" t="s">
        <v>23</v>
      </c>
      <c r="O61" s="1466"/>
      <c r="P61" s="326"/>
    </row>
    <row r="62" spans="1:42" s="230" customFormat="1" ht="47.25" customHeight="1" x14ac:dyDescent="0.25">
      <c r="A62" s="948"/>
      <c r="B62" s="1212" t="s">
        <v>212</v>
      </c>
      <c r="C62" s="1198" t="s">
        <v>213</v>
      </c>
      <c r="D62" s="1221" t="s">
        <v>203</v>
      </c>
      <c r="E62" s="1320" t="s">
        <v>1</v>
      </c>
      <c r="F62" s="1458"/>
      <c r="G62" s="1449"/>
      <c r="H62" s="1447"/>
      <c r="I62" s="1469"/>
      <c r="J62" s="335"/>
      <c r="K62" s="862"/>
      <c r="L62" s="322" t="s">
        <v>214</v>
      </c>
      <c r="M62" s="325">
        <v>46436</v>
      </c>
      <c r="N62" s="755" t="s">
        <v>23</v>
      </c>
      <c r="O62" s="1467"/>
      <c r="P62" s="326"/>
    </row>
    <row r="63" spans="1:42" s="230" customFormat="1" ht="39.950000000000003" customHeight="1" x14ac:dyDescent="0.2">
      <c r="A63" s="948"/>
      <c r="B63" s="1213" t="s">
        <v>215</v>
      </c>
      <c r="C63" s="1214"/>
      <c r="D63" s="1215" t="s">
        <v>203</v>
      </c>
      <c r="E63" s="1320" t="s">
        <v>1</v>
      </c>
      <c r="F63" s="1459"/>
      <c r="G63" s="538"/>
      <c r="H63" s="732"/>
      <c r="I63" s="1470"/>
      <c r="J63" s="335"/>
      <c r="K63" s="973"/>
      <c r="L63" s="322" t="s">
        <v>62</v>
      </c>
      <c r="M63" s="325" t="s">
        <v>204</v>
      </c>
      <c r="N63" s="755" t="s">
        <v>23</v>
      </c>
      <c r="O63" s="513"/>
      <c r="P63" s="326"/>
    </row>
    <row r="64" spans="1:42" s="230" customFormat="1" ht="39.950000000000003" customHeight="1" x14ac:dyDescent="0.25">
      <c r="A64" s="948"/>
      <c r="B64" s="1219" t="s">
        <v>216</v>
      </c>
      <c r="C64" s="1220" t="s">
        <v>217</v>
      </c>
      <c r="D64" s="1217" t="s">
        <v>218</v>
      </c>
      <c r="E64" s="1320" t="s">
        <v>1</v>
      </c>
      <c r="F64" s="1457">
        <v>4</v>
      </c>
      <c r="G64" s="1448">
        <v>1</v>
      </c>
      <c r="H64" s="1445">
        <f>COUNTIF(E64:E67, "Servicable.")</f>
        <v>0</v>
      </c>
      <c r="I64" s="1468">
        <f>COUNTIFS($D:$D,"*JACK, AIRCRAFT, NLG LANDING GEAR*",$E:$E,"Serviceable") / COUNTIFS($D:$D,"*JACK, AIRCRAFT, NLG LANDING GEAR*")</f>
        <v>1</v>
      </c>
      <c r="J64" s="335">
        <f>IF(H64/G64&gt;1,1,H64/G64)</f>
        <v>0</v>
      </c>
      <c r="K64" s="1387" t="s">
        <v>163</v>
      </c>
      <c r="L64" s="322" t="s">
        <v>66</v>
      </c>
      <c r="M64" s="449">
        <v>45433</v>
      </c>
      <c r="N64" s="754" t="s">
        <v>38</v>
      </c>
      <c r="O64" s="1465" t="s">
        <v>68</v>
      </c>
      <c r="P64" s="326"/>
    </row>
    <row r="65" spans="1:16" s="230" customFormat="1" ht="39.950000000000003" customHeight="1" x14ac:dyDescent="0.2">
      <c r="A65" s="948"/>
      <c r="B65" s="1152" t="s">
        <v>219</v>
      </c>
      <c r="C65" s="1153" t="s">
        <v>220</v>
      </c>
      <c r="D65" s="1217" t="s">
        <v>218</v>
      </c>
      <c r="E65" s="1320" t="s">
        <v>1</v>
      </c>
      <c r="F65" s="1458"/>
      <c r="G65" s="1451"/>
      <c r="H65" s="1446"/>
      <c r="I65" s="1469"/>
      <c r="J65" s="335"/>
      <c r="K65" s="333"/>
      <c r="L65" s="334" t="s">
        <v>221</v>
      </c>
      <c r="M65" s="325">
        <v>45666</v>
      </c>
      <c r="N65" s="754" t="s">
        <v>23</v>
      </c>
      <c r="O65" s="1466"/>
      <c r="P65" s="326"/>
    </row>
    <row r="66" spans="1:16" s="230" customFormat="1" ht="39.950000000000003" customHeight="1" x14ac:dyDescent="0.25">
      <c r="A66" s="948"/>
      <c r="B66" s="1152" t="s">
        <v>222</v>
      </c>
      <c r="C66" s="1153" t="s">
        <v>223</v>
      </c>
      <c r="D66" s="1217" t="s">
        <v>218</v>
      </c>
      <c r="E66" s="1320" t="s">
        <v>1</v>
      </c>
      <c r="F66" s="1458"/>
      <c r="G66" s="1451"/>
      <c r="H66" s="1446"/>
      <c r="I66" s="1469"/>
      <c r="J66" s="335"/>
      <c r="K66" s="1387" t="s">
        <v>163</v>
      </c>
      <c r="L66" s="334" t="s">
        <v>31</v>
      </c>
      <c r="M66" s="325">
        <v>46149</v>
      </c>
      <c r="N66" s="754" t="s">
        <v>23</v>
      </c>
      <c r="O66" s="1466"/>
      <c r="P66" s="326"/>
    </row>
    <row r="67" spans="1:16" s="230" customFormat="1" ht="39.950000000000003" customHeight="1" x14ac:dyDescent="0.2">
      <c r="A67" s="948"/>
      <c r="B67" s="1154" t="s">
        <v>224</v>
      </c>
      <c r="C67" s="1155" t="s">
        <v>225</v>
      </c>
      <c r="D67" s="1217" t="s">
        <v>218</v>
      </c>
      <c r="E67" s="1320" t="s">
        <v>1</v>
      </c>
      <c r="F67" s="1459"/>
      <c r="G67" s="1449"/>
      <c r="H67" s="1447"/>
      <c r="I67" s="1470"/>
      <c r="J67" s="336"/>
      <c r="K67" s="987" t="s">
        <v>226</v>
      </c>
      <c r="L67" s="334" t="s">
        <v>31</v>
      </c>
      <c r="M67" s="325">
        <v>46186</v>
      </c>
      <c r="N67" s="754" t="s">
        <v>23</v>
      </c>
      <c r="O67" s="1467"/>
      <c r="P67" s="326"/>
    </row>
    <row r="68" spans="1:16" s="230" customFormat="1" ht="39.950000000000003" customHeight="1" x14ac:dyDescent="0.2">
      <c r="A68" s="948"/>
      <c r="B68" s="1207" t="s">
        <v>227</v>
      </c>
      <c r="C68" s="1208" t="s">
        <v>228</v>
      </c>
      <c r="D68" s="1222" t="s">
        <v>229</v>
      </c>
      <c r="E68" s="1320" t="s">
        <v>3</v>
      </c>
      <c r="F68" s="1457">
        <v>2</v>
      </c>
      <c r="G68" s="1448">
        <v>1</v>
      </c>
      <c r="H68" s="1445">
        <f>COUNTIF(E68:E69,"S")</f>
        <v>0</v>
      </c>
      <c r="I68" s="1468">
        <f>COUNTIFS($D:$D,"*TRUCK, LIFT, NOSE LANDING GEAR.RHINO *",$E:$E,"Serviceable") / COUNTIFS($D:$D,"*TRUCK, LIFT, NOSE LANDING GEAR.RHINO *")</f>
        <v>0.5</v>
      </c>
      <c r="J68" s="335">
        <f>IF(H68/G68&gt;1,1,H68/G68)</f>
        <v>0</v>
      </c>
      <c r="K68" s="333" t="s">
        <v>230</v>
      </c>
      <c r="L68" s="334" t="s">
        <v>66</v>
      </c>
      <c r="M68" s="325">
        <v>46097</v>
      </c>
      <c r="N68" s="366" t="s">
        <v>67</v>
      </c>
      <c r="O68" s="1471" t="s">
        <v>68</v>
      </c>
      <c r="P68" s="326"/>
    </row>
    <row r="69" spans="1:16" s="230" customFormat="1" ht="39.950000000000003" customHeight="1" x14ac:dyDescent="0.2">
      <c r="A69" s="948"/>
      <c r="B69" s="1213" t="s">
        <v>231</v>
      </c>
      <c r="C69" s="1214" t="s">
        <v>232</v>
      </c>
      <c r="D69" s="1223" t="s">
        <v>229</v>
      </c>
      <c r="E69" s="1320" t="s">
        <v>1</v>
      </c>
      <c r="F69" s="1459"/>
      <c r="G69" s="1449"/>
      <c r="H69" s="1447"/>
      <c r="I69" s="1470"/>
      <c r="J69" s="336"/>
      <c r="K69" s="730" t="s">
        <v>163</v>
      </c>
      <c r="L69" s="322" t="s">
        <v>66</v>
      </c>
      <c r="M69" s="325">
        <v>46097</v>
      </c>
      <c r="N69" s="366" t="s">
        <v>67</v>
      </c>
      <c r="O69" s="1472"/>
      <c r="P69" s="326"/>
    </row>
    <row r="70" spans="1:16" s="230" customFormat="1" ht="39.950000000000003" customHeight="1" x14ac:dyDescent="0.2">
      <c r="A70" s="948"/>
      <c r="B70" s="1171" t="s">
        <v>233</v>
      </c>
      <c r="C70" s="1144" t="s">
        <v>234</v>
      </c>
      <c r="D70" s="1167" t="s">
        <v>235</v>
      </c>
      <c r="E70" s="1320" t="s">
        <v>1</v>
      </c>
      <c r="F70" s="1457">
        <v>2</v>
      </c>
      <c r="G70" s="1448">
        <v>2</v>
      </c>
      <c r="H70" s="1445">
        <f>COUNTIF(E70:E71, "S")</f>
        <v>0</v>
      </c>
      <c r="I70" s="1468">
        <f>COUNTIFS($D:$D,"*VACUUM CLEANER, Trailer, PNEUMATIC*",$E:$E,"Serviceable") / COUNTIFS($D:$D,"*VACUUM CLEANER, Trailer, PNEUMATIC*")</f>
        <v>1</v>
      </c>
      <c r="J70" s="335">
        <f>IF(H70/G70&gt;1,1,H70/G70)</f>
        <v>0</v>
      </c>
      <c r="K70" s="333" t="s">
        <v>236</v>
      </c>
      <c r="L70" s="334" t="s">
        <v>31</v>
      </c>
      <c r="M70" s="325">
        <v>46094</v>
      </c>
      <c r="N70" s="366" t="s">
        <v>32</v>
      </c>
      <c r="O70" s="1465" t="s">
        <v>24</v>
      </c>
      <c r="P70" s="326"/>
    </row>
    <row r="71" spans="1:16" s="230" customFormat="1" ht="39.950000000000003" customHeight="1" x14ac:dyDescent="0.2">
      <c r="A71" s="948"/>
      <c r="B71" s="1165" t="s">
        <v>237</v>
      </c>
      <c r="C71" s="1166" t="s">
        <v>238</v>
      </c>
      <c r="D71" s="1185" t="s">
        <v>235</v>
      </c>
      <c r="E71" s="1320" t="s">
        <v>1</v>
      </c>
      <c r="F71" s="1478"/>
      <c r="G71" s="1479"/>
      <c r="H71" s="1480"/>
      <c r="I71" s="1492"/>
      <c r="J71" s="335"/>
      <c r="K71" s="1123" t="s">
        <v>239</v>
      </c>
      <c r="L71" s="336" t="s">
        <v>31</v>
      </c>
      <c r="M71" s="450">
        <v>46094</v>
      </c>
      <c r="N71" s="366" t="s">
        <v>32</v>
      </c>
      <c r="O71" s="1481"/>
      <c r="P71" s="326"/>
    </row>
    <row r="72" spans="1:16" s="230" customFormat="1" ht="39.950000000000003" customHeight="1" x14ac:dyDescent="0.25">
      <c r="A72" s="948"/>
      <c r="B72" s="1207" t="s">
        <v>240</v>
      </c>
      <c r="C72" s="1208" t="s">
        <v>241</v>
      </c>
      <c r="D72" s="1209" t="s">
        <v>242</v>
      </c>
      <c r="E72" s="1320" t="s">
        <v>3</v>
      </c>
      <c r="F72" s="1493">
        <v>13</v>
      </c>
      <c r="G72" s="690">
        <v>6</v>
      </c>
      <c r="H72" s="1033">
        <v>0</v>
      </c>
      <c r="I72" s="1496">
        <f>COUNTIFS($D:$D,"*JACK,HYDRAULIC,60 *",$E:$E,"Serviceable") / COUNTIFS($D:$D,"*JACK,HYDRAULIC,60 *")</f>
        <v>0.61538461538461542</v>
      </c>
      <c r="J72" s="348">
        <f>IF(H72/G72&gt;1,1,H72/G72)</f>
        <v>0</v>
      </c>
      <c r="K72" s="1120" t="s">
        <v>243</v>
      </c>
      <c r="L72" s="336" t="s">
        <v>31</v>
      </c>
      <c r="M72" s="451">
        <v>46460</v>
      </c>
      <c r="N72" s="366" t="s">
        <v>38</v>
      </c>
      <c r="O72" s="1037"/>
      <c r="P72" s="326"/>
    </row>
    <row r="73" spans="1:16" s="230" customFormat="1" ht="40.5" customHeight="1" x14ac:dyDescent="0.25">
      <c r="A73" s="948"/>
      <c r="B73" s="1397" t="s">
        <v>244</v>
      </c>
      <c r="C73" s="1180" t="s">
        <v>245</v>
      </c>
      <c r="D73" s="1211" t="s">
        <v>242</v>
      </c>
      <c r="E73" s="1320" t="s">
        <v>1</v>
      </c>
      <c r="F73" s="1494"/>
      <c r="G73" s="538"/>
      <c r="H73" s="1034"/>
      <c r="I73" s="1497"/>
      <c r="J73" s="348"/>
      <c r="K73" s="1387" t="s">
        <v>163</v>
      </c>
      <c r="L73" s="336" t="s">
        <v>31</v>
      </c>
      <c r="M73" s="325">
        <v>46081</v>
      </c>
      <c r="N73" s="366" t="s">
        <v>38</v>
      </c>
      <c r="O73" s="1038"/>
      <c r="P73" s="326"/>
    </row>
    <row r="74" spans="1:16" s="230" customFormat="1" ht="39.950000000000003" customHeight="1" x14ac:dyDescent="0.3">
      <c r="A74" s="948"/>
      <c r="B74" s="1210" t="s">
        <v>246</v>
      </c>
      <c r="C74" s="1180" t="s">
        <v>247</v>
      </c>
      <c r="D74" s="1211" t="s">
        <v>242</v>
      </c>
      <c r="E74" s="1320" t="s">
        <v>3</v>
      </c>
      <c r="F74" s="1494"/>
      <c r="G74" s="538"/>
      <c r="H74" s="1034"/>
      <c r="I74" s="1497"/>
      <c r="J74" s="348"/>
      <c r="K74" s="1127" t="s">
        <v>248</v>
      </c>
      <c r="L74" s="336" t="s">
        <v>62</v>
      </c>
      <c r="M74" s="325">
        <v>46398</v>
      </c>
      <c r="N74" s="366" t="s">
        <v>38</v>
      </c>
      <c r="O74" s="1038"/>
      <c r="P74" s="326"/>
    </row>
    <row r="75" spans="1:16" s="1029" customFormat="1" ht="39.950000000000003" customHeight="1" x14ac:dyDescent="0.25">
      <c r="A75" s="1026"/>
      <c r="B75" s="1399" t="s">
        <v>249</v>
      </c>
      <c r="C75" s="1198" t="s">
        <v>250</v>
      </c>
      <c r="D75" s="1211" t="s">
        <v>242</v>
      </c>
      <c r="E75" s="1320" t="s">
        <v>1</v>
      </c>
      <c r="F75" s="1494"/>
      <c r="G75" s="1027"/>
      <c r="H75" s="1035"/>
      <c r="I75" s="1497"/>
      <c r="J75" s="1121"/>
      <c r="K75" s="1120"/>
      <c r="L75" s="1032" t="s">
        <v>52</v>
      </c>
      <c r="M75" s="1041">
        <v>46412</v>
      </c>
      <c r="N75" s="1031" t="s">
        <v>38</v>
      </c>
      <c r="O75" s="1039"/>
      <c r="P75" s="1028"/>
    </row>
    <row r="76" spans="1:16" s="230" customFormat="1" ht="39.950000000000003" customHeight="1" x14ac:dyDescent="0.25">
      <c r="A76" s="948"/>
      <c r="B76" s="1210" t="s">
        <v>251</v>
      </c>
      <c r="C76" s="1180" t="s">
        <v>252</v>
      </c>
      <c r="D76" s="1211" t="s">
        <v>242</v>
      </c>
      <c r="E76" s="1320" t="s">
        <v>3</v>
      </c>
      <c r="F76" s="1494"/>
      <c r="G76" s="538"/>
      <c r="H76" s="1034"/>
      <c r="I76" s="1497"/>
      <c r="J76" s="1030"/>
      <c r="K76" s="1120" t="s">
        <v>253</v>
      </c>
      <c r="L76" s="336" t="s">
        <v>31</v>
      </c>
      <c r="M76" s="325">
        <v>46487</v>
      </c>
      <c r="N76" s="366" t="s">
        <v>38</v>
      </c>
      <c r="O76" s="1040"/>
      <c r="P76" s="326"/>
    </row>
    <row r="77" spans="1:16" s="230" customFormat="1" ht="39.950000000000003" customHeight="1" x14ac:dyDescent="0.25">
      <c r="A77" s="948"/>
      <c r="B77" s="1400" t="s">
        <v>254</v>
      </c>
      <c r="C77" s="1206" t="s">
        <v>255</v>
      </c>
      <c r="D77" s="1308" t="s">
        <v>242</v>
      </c>
      <c r="E77" s="1320" t="s">
        <v>1</v>
      </c>
      <c r="F77" s="1494"/>
      <c r="G77" s="538"/>
      <c r="H77" s="1034"/>
      <c r="I77" s="1497"/>
      <c r="J77" s="1309"/>
      <c r="K77" s="1310"/>
      <c r="L77" s="1142" t="s">
        <v>52</v>
      </c>
      <c r="M77" s="450">
        <v>46372</v>
      </c>
      <c r="N77" s="1311" t="s">
        <v>38</v>
      </c>
      <c r="O77" s="1040"/>
      <c r="P77" s="326"/>
    </row>
    <row r="78" spans="1:16" s="230" customFormat="1" ht="39.950000000000003" customHeight="1" x14ac:dyDescent="0.35">
      <c r="A78" s="948"/>
      <c r="B78" s="1401" t="s">
        <v>256</v>
      </c>
      <c r="C78" s="1205" t="s">
        <v>257</v>
      </c>
      <c r="D78" s="1308" t="s">
        <v>242</v>
      </c>
      <c r="E78" s="1320" t="s">
        <v>3</v>
      </c>
      <c r="F78" s="1494"/>
      <c r="G78" s="1315"/>
      <c r="H78" s="1316"/>
      <c r="I78" s="1497"/>
      <c r="J78" s="1314"/>
      <c r="K78" s="1317" t="s">
        <v>258</v>
      </c>
      <c r="L78" s="1314" t="s">
        <v>52</v>
      </c>
      <c r="M78" s="1318">
        <v>46386</v>
      </c>
      <c r="N78" s="1319" t="s">
        <v>38</v>
      </c>
      <c r="O78" s="357"/>
      <c r="P78" s="326"/>
    </row>
    <row r="79" spans="1:16" s="230" customFormat="1" ht="39.950000000000003" customHeight="1" x14ac:dyDescent="0.25">
      <c r="A79" s="948"/>
      <c r="B79" s="1312" t="s">
        <v>259</v>
      </c>
      <c r="C79" s="1189" t="s">
        <v>260</v>
      </c>
      <c r="D79" s="1211" t="s">
        <v>242</v>
      </c>
      <c r="E79" s="1320" t="s">
        <v>3</v>
      </c>
      <c r="F79" s="1494"/>
      <c r="G79" s="538"/>
      <c r="H79" s="1036"/>
      <c r="I79" s="1497"/>
      <c r="J79" s="1122"/>
      <c r="K79" s="1313" t="s">
        <v>253</v>
      </c>
      <c r="L79" s="1143" t="s">
        <v>31</v>
      </c>
      <c r="M79" s="454">
        <v>46566</v>
      </c>
      <c r="N79" s="539" t="s">
        <v>38</v>
      </c>
      <c r="O79" s="1040"/>
      <c r="P79" s="326"/>
    </row>
    <row r="80" spans="1:16" s="230" customFormat="1" ht="39.950000000000003" customHeight="1" x14ac:dyDescent="0.25">
      <c r="A80" s="948"/>
      <c r="B80" s="1397" t="s">
        <v>261</v>
      </c>
      <c r="C80" s="1180" t="s">
        <v>262</v>
      </c>
      <c r="D80" s="1211" t="s">
        <v>242</v>
      </c>
      <c r="E80" s="1320" t="s">
        <v>1</v>
      </c>
      <c r="F80" s="1494"/>
      <c r="G80" s="538"/>
      <c r="H80" s="1034"/>
      <c r="I80" s="1497"/>
      <c r="J80" s="1122"/>
      <c r="K80" s="1120"/>
      <c r="L80" s="1016" t="s">
        <v>52</v>
      </c>
      <c r="M80" s="543"/>
      <c r="N80" s="539" t="s">
        <v>38</v>
      </c>
      <c r="O80" s="357"/>
      <c r="P80" s="326"/>
    </row>
    <row r="81" spans="1:16" s="230" customFormat="1" ht="39.950000000000003" customHeight="1" x14ac:dyDescent="0.25">
      <c r="A81" s="948"/>
      <c r="B81" s="1397" t="s">
        <v>263</v>
      </c>
      <c r="C81" s="1180" t="s">
        <v>264</v>
      </c>
      <c r="D81" s="1211" t="s">
        <v>242</v>
      </c>
      <c r="E81" s="1320" t="s">
        <v>1</v>
      </c>
      <c r="F81" s="1494"/>
      <c r="G81" s="538"/>
      <c r="H81" s="1036"/>
      <c r="I81" s="1497"/>
      <c r="J81" s="348"/>
      <c r="K81" s="1120"/>
      <c r="L81" s="336" t="s">
        <v>52</v>
      </c>
      <c r="M81" s="454">
        <v>45587</v>
      </c>
      <c r="N81" s="366" t="s">
        <v>38</v>
      </c>
      <c r="O81" s="1038"/>
      <c r="P81" s="326"/>
    </row>
    <row r="82" spans="1:16" s="230" customFormat="1" ht="39.950000000000003" customHeight="1" x14ac:dyDescent="0.25">
      <c r="A82" s="948"/>
      <c r="B82" s="1397" t="s">
        <v>265</v>
      </c>
      <c r="C82" s="1180" t="s">
        <v>266</v>
      </c>
      <c r="D82" s="1211" t="s">
        <v>242</v>
      </c>
      <c r="E82" s="1320" t="s">
        <v>1</v>
      </c>
      <c r="F82" s="1494"/>
      <c r="G82" s="538"/>
      <c r="H82" s="1036"/>
      <c r="I82" s="1497"/>
      <c r="J82" s="348"/>
      <c r="K82" s="1120"/>
      <c r="L82" s="336" t="s">
        <v>52</v>
      </c>
      <c r="M82" s="452">
        <v>46873</v>
      </c>
      <c r="N82" s="366" t="s">
        <v>38</v>
      </c>
      <c r="O82" s="1038"/>
      <c r="P82" s="326"/>
    </row>
    <row r="83" spans="1:16" s="230" customFormat="1" ht="39.950000000000003" customHeight="1" x14ac:dyDescent="0.25">
      <c r="A83" s="948"/>
      <c r="B83" s="1397" t="s">
        <v>267</v>
      </c>
      <c r="C83" s="1180" t="s">
        <v>268</v>
      </c>
      <c r="D83" s="1211" t="s">
        <v>242</v>
      </c>
      <c r="E83" s="1320" t="s">
        <v>1</v>
      </c>
      <c r="F83" s="1494"/>
      <c r="G83" s="538"/>
      <c r="H83" s="1036"/>
      <c r="I83" s="1497"/>
      <c r="J83" s="1030"/>
      <c r="K83" s="1387" t="s">
        <v>163</v>
      </c>
      <c r="L83" s="336" t="s">
        <v>52</v>
      </c>
      <c r="M83" s="325">
        <v>46346</v>
      </c>
      <c r="N83" s="366" t="s">
        <v>38</v>
      </c>
      <c r="O83" s="1040"/>
      <c r="P83" s="326"/>
    </row>
    <row r="84" spans="1:16" s="230" customFormat="1" ht="39.950000000000003" customHeight="1" x14ac:dyDescent="0.2">
      <c r="A84" s="948"/>
      <c r="B84" s="1398" t="s">
        <v>269</v>
      </c>
      <c r="C84" s="1214" t="s">
        <v>270</v>
      </c>
      <c r="D84" s="1215" t="s">
        <v>242</v>
      </c>
      <c r="E84" s="1320" t="s">
        <v>1</v>
      </c>
      <c r="F84" s="1495"/>
      <c r="G84" s="538"/>
      <c r="H84" s="1036"/>
      <c r="I84" s="1498"/>
      <c r="J84" s="336"/>
      <c r="K84" s="1124"/>
      <c r="L84" s="336" t="s">
        <v>52</v>
      </c>
      <c r="M84" s="452">
        <v>46873</v>
      </c>
      <c r="N84" s="366" t="s">
        <v>38</v>
      </c>
      <c r="O84" s="1040"/>
      <c r="P84" s="326"/>
    </row>
    <row r="85" spans="1:16" s="230" customFormat="1" ht="39.950000000000003" customHeight="1" x14ac:dyDescent="0.2">
      <c r="A85" s="948"/>
      <c r="B85" s="1171" t="s">
        <v>271</v>
      </c>
      <c r="C85" s="1200" t="s">
        <v>272</v>
      </c>
      <c r="D85" s="1202" t="s">
        <v>273</v>
      </c>
      <c r="E85" s="1320" t="s">
        <v>1</v>
      </c>
      <c r="F85" s="1443">
        <v>18</v>
      </c>
      <c r="G85" s="1448">
        <v>6</v>
      </c>
      <c r="H85" s="1483">
        <v>9</v>
      </c>
      <c r="I85" s="1499">
        <f>COUNTIFS($D:$D,"*GAUGE 0-10,000PSI *",$E:$E,"Serviceable") / COUNTIFS($D:$D,"*GAUGE 0-10,000PSI*")</f>
        <v>0.94117647058823528</v>
      </c>
      <c r="J85" s="336"/>
      <c r="K85" s="344" t="s">
        <v>274</v>
      </c>
      <c r="L85" s="336"/>
      <c r="M85" s="325">
        <v>45954</v>
      </c>
      <c r="N85" s="368"/>
      <c r="O85" s="1471"/>
      <c r="P85" s="326"/>
    </row>
    <row r="86" spans="1:16" s="230" customFormat="1" ht="39.950000000000003" customHeight="1" x14ac:dyDescent="0.2">
      <c r="A86" s="948"/>
      <c r="B86" s="1179" t="s">
        <v>271</v>
      </c>
      <c r="C86" s="1201" t="s">
        <v>275</v>
      </c>
      <c r="D86" s="1202" t="s">
        <v>273</v>
      </c>
      <c r="E86" s="1320" t="s">
        <v>1</v>
      </c>
      <c r="F86" s="1450"/>
      <c r="G86" s="1451"/>
      <c r="H86" s="1484"/>
      <c r="I86" s="1469"/>
      <c r="J86" s="336"/>
      <c r="K86" s="347" t="s">
        <v>274</v>
      </c>
      <c r="L86" s="336"/>
      <c r="M86" s="447">
        <v>45899</v>
      </c>
      <c r="N86" s="372"/>
      <c r="O86" s="1486"/>
      <c r="P86" s="326"/>
    </row>
    <row r="87" spans="1:16" s="230" customFormat="1" ht="39.950000000000003" customHeight="1" x14ac:dyDescent="0.2">
      <c r="A87" s="948"/>
      <c r="B87" s="1179" t="s">
        <v>271</v>
      </c>
      <c r="C87" s="1201" t="s">
        <v>276</v>
      </c>
      <c r="D87" s="1202" t="s">
        <v>273</v>
      </c>
      <c r="E87" s="1320" t="s">
        <v>1</v>
      </c>
      <c r="F87" s="1450"/>
      <c r="G87" s="1451"/>
      <c r="H87" s="1484"/>
      <c r="I87" s="1469"/>
      <c r="J87" s="336"/>
      <c r="K87" s="358" t="s">
        <v>274</v>
      </c>
      <c r="L87" s="336"/>
      <c r="M87" s="447">
        <v>45974</v>
      </c>
      <c r="N87" s="372"/>
      <c r="O87" s="1486"/>
      <c r="P87" s="326"/>
    </row>
    <row r="88" spans="1:16" s="230" customFormat="1" ht="39.950000000000003" customHeight="1" x14ac:dyDescent="0.2">
      <c r="A88" s="948"/>
      <c r="B88" s="1179" t="s">
        <v>271</v>
      </c>
      <c r="C88" s="1201" t="s">
        <v>277</v>
      </c>
      <c r="D88" s="1202" t="s">
        <v>273</v>
      </c>
      <c r="E88" s="1320" t="s">
        <v>1</v>
      </c>
      <c r="F88" s="1450"/>
      <c r="G88" s="1451"/>
      <c r="H88" s="1484"/>
      <c r="I88" s="1469"/>
      <c r="J88" s="336"/>
      <c r="K88" s="347" t="s">
        <v>274</v>
      </c>
      <c r="L88" s="336"/>
      <c r="M88" s="325">
        <v>45996</v>
      </c>
      <c r="N88" s="372"/>
      <c r="O88" s="1486"/>
      <c r="P88" s="326"/>
    </row>
    <row r="89" spans="1:16" s="230" customFormat="1" ht="39.950000000000003" customHeight="1" x14ac:dyDescent="0.2">
      <c r="A89" s="948"/>
      <c r="B89" s="1179" t="s">
        <v>271</v>
      </c>
      <c r="C89" s="1200" t="s">
        <v>278</v>
      </c>
      <c r="D89" s="1202" t="s">
        <v>273</v>
      </c>
      <c r="E89" s="1320" t="s">
        <v>1</v>
      </c>
      <c r="F89" s="1450"/>
      <c r="G89" s="1451"/>
      <c r="H89" s="1484"/>
      <c r="I89" s="1469"/>
      <c r="J89" s="336"/>
      <c r="K89" s="358" t="s">
        <v>274</v>
      </c>
      <c r="L89" s="336"/>
      <c r="M89" s="453">
        <v>45961</v>
      </c>
      <c r="N89" s="372"/>
      <c r="O89" s="1486"/>
      <c r="P89" s="326"/>
    </row>
    <row r="90" spans="1:16" s="230" customFormat="1" ht="39.950000000000003" customHeight="1" x14ac:dyDescent="0.2">
      <c r="A90" s="948"/>
      <c r="B90" s="1179" t="s">
        <v>271</v>
      </c>
      <c r="C90" s="1201" t="s">
        <v>279</v>
      </c>
      <c r="D90" s="1202" t="s">
        <v>273</v>
      </c>
      <c r="E90" s="1320" t="s">
        <v>1</v>
      </c>
      <c r="F90" s="1450"/>
      <c r="G90" s="1451"/>
      <c r="H90" s="1484"/>
      <c r="I90" s="1469"/>
      <c r="J90" s="336"/>
      <c r="K90" s="230" t="s">
        <v>274</v>
      </c>
      <c r="L90" s="336"/>
      <c r="M90" s="447">
        <v>45953</v>
      </c>
      <c r="N90" s="372"/>
      <c r="O90" s="1486"/>
      <c r="P90" s="326"/>
    </row>
    <row r="91" spans="1:16" s="230" customFormat="1" ht="39.950000000000003" customHeight="1" x14ac:dyDescent="0.2">
      <c r="A91" s="948"/>
      <c r="B91" s="1179" t="s">
        <v>271</v>
      </c>
      <c r="C91" s="1201" t="s">
        <v>280</v>
      </c>
      <c r="D91" s="1202" t="s">
        <v>273</v>
      </c>
      <c r="E91" s="1320" t="s">
        <v>1</v>
      </c>
      <c r="F91" s="1450"/>
      <c r="G91" s="1451"/>
      <c r="H91" s="1484"/>
      <c r="I91" s="1469"/>
      <c r="J91" s="336"/>
      <c r="K91" s="347" t="s">
        <v>274</v>
      </c>
      <c r="L91" s="336"/>
      <c r="M91" s="325">
        <v>45660</v>
      </c>
      <c r="N91" s="372"/>
      <c r="O91" s="1486"/>
      <c r="P91" s="326"/>
    </row>
    <row r="92" spans="1:16" s="230" customFormat="1" ht="39.950000000000003" customHeight="1" x14ac:dyDescent="0.2">
      <c r="A92" s="948"/>
      <c r="B92" s="1179" t="s">
        <v>271</v>
      </c>
      <c r="C92" s="1201" t="s">
        <v>281</v>
      </c>
      <c r="D92" s="1202" t="s">
        <v>273</v>
      </c>
      <c r="E92" s="1320" t="s">
        <v>1</v>
      </c>
      <c r="F92" s="1450"/>
      <c r="G92" s="1451"/>
      <c r="H92" s="1484"/>
      <c r="I92" s="1469"/>
      <c r="J92" s="336"/>
      <c r="K92" s="347" t="s">
        <v>274</v>
      </c>
      <c r="L92" s="336"/>
      <c r="M92" s="325">
        <v>45780</v>
      </c>
      <c r="N92" s="372"/>
      <c r="O92" s="1486"/>
      <c r="P92" s="326"/>
    </row>
    <row r="93" spans="1:16" s="230" customFormat="1" ht="39.950000000000003" customHeight="1" x14ac:dyDescent="0.2">
      <c r="A93" s="948"/>
      <c r="B93" s="1179" t="s">
        <v>271</v>
      </c>
      <c r="C93" s="1201" t="s">
        <v>282</v>
      </c>
      <c r="D93" s="1202" t="s">
        <v>273</v>
      </c>
      <c r="E93" s="1320" t="s">
        <v>1</v>
      </c>
      <c r="F93" s="1450"/>
      <c r="G93" s="1451"/>
      <c r="H93" s="1484"/>
      <c r="I93" s="1469"/>
      <c r="J93" s="336"/>
      <c r="K93" s="753" t="s">
        <v>274</v>
      </c>
      <c r="L93" s="336"/>
      <c r="M93" s="447">
        <v>45792</v>
      </c>
      <c r="N93" s="372"/>
      <c r="O93" s="1486"/>
      <c r="P93" s="326"/>
    </row>
    <row r="94" spans="1:16" s="230" customFormat="1" ht="39.950000000000003" customHeight="1" x14ac:dyDescent="0.2">
      <c r="A94" s="948"/>
      <c r="B94" s="1179" t="s">
        <v>271</v>
      </c>
      <c r="C94" s="1201" t="s">
        <v>283</v>
      </c>
      <c r="D94" s="1202" t="s">
        <v>273</v>
      </c>
      <c r="E94" s="1320" t="s">
        <v>1</v>
      </c>
      <c r="F94" s="1450"/>
      <c r="G94" s="1451"/>
      <c r="H94" s="1484"/>
      <c r="I94" s="1469"/>
      <c r="J94" s="336"/>
      <c r="K94" s="230" t="s">
        <v>274</v>
      </c>
      <c r="L94" s="336"/>
      <c r="M94" s="325">
        <v>45792</v>
      </c>
      <c r="N94" s="372"/>
      <c r="O94" s="1486"/>
      <c r="P94" s="326"/>
    </row>
    <row r="95" spans="1:16" s="230" customFormat="1" ht="39.950000000000003" customHeight="1" x14ac:dyDescent="0.25">
      <c r="A95" s="948"/>
      <c r="B95" s="1203"/>
      <c r="C95" s="1204"/>
      <c r="D95" s="1202" t="s">
        <v>273</v>
      </c>
      <c r="E95" s="1320" t="s">
        <v>1</v>
      </c>
      <c r="F95" s="1450"/>
      <c r="G95" s="1451"/>
      <c r="H95" s="1484"/>
      <c r="I95" s="1469"/>
      <c r="J95" s="336"/>
      <c r="K95" s="347" t="s">
        <v>274</v>
      </c>
      <c r="L95" s="336"/>
      <c r="N95" s="372"/>
      <c r="O95" s="1486"/>
      <c r="P95" s="326"/>
    </row>
    <row r="96" spans="1:16" s="230" customFormat="1" ht="39.950000000000003" customHeight="1" x14ac:dyDescent="0.2">
      <c r="A96" s="948"/>
      <c r="B96" s="1179" t="s">
        <v>271</v>
      </c>
      <c r="C96" s="1201" t="s">
        <v>284</v>
      </c>
      <c r="D96" s="1202" t="s">
        <v>273</v>
      </c>
      <c r="E96" s="1320" t="s">
        <v>3</v>
      </c>
      <c r="F96" s="1450"/>
      <c r="G96" s="1451"/>
      <c r="H96" s="1484"/>
      <c r="I96" s="1469"/>
      <c r="J96" s="336"/>
      <c r="K96" s="358" t="s">
        <v>274</v>
      </c>
      <c r="L96" s="336"/>
      <c r="M96" s="447">
        <v>45528</v>
      </c>
      <c r="N96" s="372"/>
      <c r="O96" s="1486"/>
      <c r="P96" s="326"/>
    </row>
    <row r="97" spans="1:16" s="230" customFormat="1" ht="39.950000000000003" customHeight="1" x14ac:dyDescent="0.2">
      <c r="A97" s="948"/>
      <c r="B97" s="1179" t="s">
        <v>271</v>
      </c>
      <c r="C97" s="1201"/>
      <c r="D97" s="1202" t="s">
        <v>273</v>
      </c>
      <c r="E97" s="1320" t="s">
        <v>1</v>
      </c>
      <c r="F97" s="1450"/>
      <c r="G97" s="1451"/>
      <c r="H97" s="1484"/>
      <c r="I97" s="1469"/>
      <c r="J97" s="336"/>
      <c r="K97" s="347" t="s">
        <v>274</v>
      </c>
      <c r="L97" s="336"/>
      <c r="M97" s="325"/>
      <c r="N97" s="372"/>
      <c r="O97" s="1486"/>
      <c r="P97" s="326"/>
    </row>
    <row r="98" spans="1:16" s="230" customFormat="1" ht="39.950000000000003" customHeight="1" x14ac:dyDescent="0.2">
      <c r="A98" s="948"/>
      <c r="B98" s="1179" t="s">
        <v>271</v>
      </c>
      <c r="C98" s="1201"/>
      <c r="D98" s="1202" t="s">
        <v>273</v>
      </c>
      <c r="E98" s="1320" t="s">
        <v>1</v>
      </c>
      <c r="F98" s="1450"/>
      <c r="G98" s="1451"/>
      <c r="H98" s="1484"/>
      <c r="I98" s="1469"/>
      <c r="J98" s="336"/>
      <c r="K98" s="347" t="s">
        <v>274</v>
      </c>
      <c r="L98" s="336"/>
      <c r="M98" s="325"/>
      <c r="N98" s="372"/>
      <c r="O98" s="1486"/>
      <c r="P98" s="326"/>
    </row>
    <row r="99" spans="1:16" s="230" customFormat="1" ht="39.950000000000003" customHeight="1" x14ac:dyDescent="0.2">
      <c r="A99" s="948"/>
      <c r="B99" s="1179" t="s">
        <v>271</v>
      </c>
      <c r="C99" s="1201"/>
      <c r="D99" s="1202" t="s">
        <v>273</v>
      </c>
      <c r="E99" s="1320" t="s">
        <v>1</v>
      </c>
      <c r="F99" s="1450"/>
      <c r="G99" s="1451"/>
      <c r="H99" s="1484"/>
      <c r="I99" s="1469"/>
      <c r="J99" s="336"/>
      <c r="K99" s="347" t="s">
        <v>285</v>
      </c>
      <c r="L99" s="336"/>
      <c r="M99" s="447"/>
      <c r="N99" s="372"/>
      <c r="O99" s="1486"/>
      <c r="P99" s="326"/>
    </row>
    <row r="100" spans="1:16" s="230" customFormat="1" ht="39.950000000000003" customHeight="1" x14ac:dyDescent="0.2">
      <c r="A100" s="948"/>
      <c r="B100" s="1179" t="s">
        <v>286</v>
      </c>
      <c r="C100" s="1201"/>
      <c r="D100" s="1202" t="s">
        <v>273</v>
      </c>
      <c r="E100" s="1320" t="s">
        <v>1</v>
      </c>
      <c r="F100" s="1450"/>
      <c r="G100" s="1451"/>
      <c r="H100" s="1484"/>
      <c r="I100" s="1469"/>
      <c r="J100" s="336"/>
      <c r="K100" s="347" t="s">
        <v>274</v>
      </c>
      <c r="L100" s="336"/>
      <c r="M100" s="325"/>
      <c r="N100" s="372"/>
      <c r="O100" s="1486"/>
      <c r="P100" s="326"/>
    </row>
    <row r="101" spans="1:16" s="230" customFormat="1" ht="40.5" customHeight="1" x14ac:dyDescent="0.2">
      <c r="A101" s="948"/>
      <c r="B101" s="1165" t="s">
        <v>271</v>
      </c>
      <c r="C101" s="1238"/>
      <c r="D101" s="1202" t="s">
        <v>273</v>
      </c>
      <c r="E101" s="1320" t="s">
        <v>1</v>
      </c>
      <c r="F101" s="1482"/>
      <c r="G101" s="1479"/>
      <c r="H101" s="1485"/>
      <c r="I101" s="1500"/>
      <c r="J101" s="336"/>
      <c r="K101" s="347" t="s">
        <v>274</v>
      </c>
      <c r="L101" s="336"/>
      <c r="M101" s="452"/>
      <c r="N101" s="372"/>
      <c r="O101" s="1487"/>
      <c r="P101" s="326"/>
    </row>
    <row r="102" spans="1:16" s="1294" customFormat="1" ht="39.75" customHeight="1" x14ac:dyDescent="0.25">
      <c r="A102" s="948"/>
      <c r="B102" s="1341" t="s">
        <v>287</v>
      </c>
      <c r="C102" s="1342" t="s">
        <v>288</v>
      </c>
      <c r="D102" s="1209" t="s">
        <v>289</v>
      </c>
      <c r="E102" s="1320" t="s">
        <v>3</v>
      </c>
      <c r="F102" s="1473">
        <v>5</v>
      </c>
      <c r="G102" s="1476">
        <v>2</v>
      </c>
      <c r="H102" s="1477">
        <v>2</v>
      </c>
      <c r="I102" s="1488">
        <f>COUNTIFS($D:$D,"*GROUND POWER UNIT  *",$E:$E,"Serviceable") / COUNTIFS($D:$D,"*GROUND POWER UNIT  *")</f>
        <v>0.5</v>
      </c>
      <c r="J102" s="1295">
        <f>IF(H102/G102&gt;1,1,H102/G102)</f>
        <v>1</v>
      </c>
      <c r="K102" s="1296" t="s">
        <v>290</v>
      </c>
      <c r="L102" s="1297" t="s">
        <v>52</v>
      </c>
      <c r="M102" s="1298" t="s">
        <v>291</v>
      </c>
      <c r="N102" s="1299"/>
      <c r="O102" s="1491" t="s">
        <v>292</v>
      </c>
      <c r="P102" s="1300"/>
    </row>
    <row r="103" spans="1:16" s="1301" customFormat="1" ht="39.75" customHeight="1" x14ac:dyDescent="0.25">
      <c r="A103" s="948"/>
      <c r="B103" s="1343" t="s">
        <v>293</v>
      </c>
      <c r="C103" s="1344" t="s">
        <v>294</v>
      </c>
      <c r="D103" s="1211" t="s">
        <v>295</v>
      </c>
      <c r="E103" s="1320" t="s">
        <v>3</v>
      </c>
      <c r="F103" s="1474"/>
      <c r="G103" s="1451"/>
      <c r="H103" s="1446"/>
      <c r="I103" s="1489"/>
      <c r="J103" s="1302"/>
      <c r="K103" s="1303" t="s">
        <v>296</v>
      </c>
      <c r="L103" s="1304" t="s">
        <v>62</v>
      </c>
      <c r="M103" s="1305" t="s">
        <v>291</v>
      </c>
      <c r="N103" s="1306" t="s">
        <v>23</v>
      </c>
      <c r="O103" s="1486"/>
      <c r="P103" s="1307"/>
    </row>
    <row r="104" spans="1:16" s="230" customFormat="1" ht="39.950000000000003" customHeight="1" x14ac:dyDescent="0.2">
      <c r="A104" s="948"/>
      <c r="B104" s="1210" t="s">
        <v>297</v>
      </c>
      <c r="C104" s="1180" t="s">
        <v>298</v>
      </c>
      <c r="D104" s="1211" t="s">
        <v>299</v>
      </c>
      <c r="E104" s="1320" t="s">
        <v>1</v>
      </c>
      <c r="F104" s="1474"/>
      <c r="G104" s="1451"/>
      <c r="H104" s="1446"/>
      <c r="I104" s="1489"/>
      <c r="J104" s="336"/>
      <c r="K104" s="972" t="s">
        <v>300</v>
      </c>
      <c r="L104" s="322" t="s">
        <v>62</v>
      </c>
      <c r="M104" s="447">
        <v>46067</v>
      </c>
      <c r="N104" s="372" t="s">
        <v>23</v>
      </c>
      <c r="O104" s="1486"/>
      <c r="P104" s="326"/>
    </row>
    <row r="105" spans="1:16" s="230" customFormat="1" ht="39.950000000000003" customHeight="1" x14ac:dyDescent="0.2">
      <c r="A105" s="948"/>
      <c r="B105" s="1210" t="s">
        <v>301</v>
      </c>
      <c r="C105" s="1180" t="s">
        <v>302</v>
      </c>
      <c r="D105" s="1211" t="s">
        <v>303</v>
      </c>
      <c r="E105" s="1320" t="s">
        <v>1</v>
      </c>
      <c r="F105" s="1474"/>
      <c r="G105" s="1451"/>
      <c r="H105" s="1446"/>
      <c r="I105" s="1489"/>
      <c r="J105" s="336"/>
      <c r="K105" s="1042"/>
      <c r="L105" s="322" t="s">
        <v>52</v>
      </c>
      <c r="M105" s="447">
        <v>46470</v>
      </c>
      <c r="N105" s="372" t="s">
        <v>23</v>
      </c>
      <c r="O105" s="1486"/>
      <c r="P105" s="326"/>
    </row>
    <row r="106" spans="1:16" s="230" customFormat="1" ht="39.950000000000003" customHeight="1" x14ac:dyDescent="0.2">
      <c r="A106" s="948"/>
      <c r="B106" s="1210" t="s">
        <v>304</v>
      </c>
      <c r="C106" s="1180" t="s">
        <v>305</v>
      </c>
      <c r="D106" s="1239" t="s">
        <v>306</v>
      </c>
      <c r="E106" s="1320" t="s">
        <v>1</v>
      </c>
      <c r="F106" s="1474"/>
      <c r="G106" s="1451"/>
      <c r="H106" s="1446"/>
      <c r="I106" s="1489"/>
      <c r="J106" s="336"/>
      <c r="K106" s="1396"/>
      <c r="L106" s="322" t="s">
        <v>52</v>
      </c>
      <c r="M106" s="325">
        <v>46047</v>
      </c>
      <c r="N106" s="372" t="s">
        <v>23</v>
      </c>
      <c r="O106" s="1486"/>
      <c r="P106" s="326"/>
    </row>
    <row r="107" spans="1:16" s="230" customFormat="1" ht="39.950000000000003" customHeight="1" x14ac:dyDescent="0.2">
      <c r="A107" s="948"/>
      <c r="B107" s="1213" t="s">
        <v>307</v>
      </c>
      <c r="C107" s="1214" t="s">
        <v>308</v>
      </c>
      <c r="D107" s="1240" t="s">
        <v>306</v>
      </c>
      <c r="E107" s="1320" t="s">
        <v>1</v>
      </c>
      <c r="F107" s="1475"/>
      <c r="G107" s="1449"/>
      <c r="H107" s="1447"/>
      <c r="I107" s="1490"/>
      <c r="J107" s="336"/>
      <c r="K107" s="989"/>
      <c r="L107" s="322" t="s">
        <v>52</v>
      </c>
      <c r="M107" s="325">
        <v>46450</v>
      </c>
      <c r="N107" s="371" t="s">
        <v>23</v>
      </c>
      <c r="O107" s="1472"/>
      <c r="P107" s="326"/>
    </row>
    <row r="108" spans="1:16" s="230" customFormat="1" ht="39.950000000000003" customHeight="1" x14ac:dyDescent="0.2">
      <c r="A108" s="948"/>
      <c r="B108" s="1220" t="s">
        <v>309</v>
      </c>
      <c r="C108" s="1220" t="s">
        <v>310</v>
      </c>
      <c r="D108" s="1241" t="s">
        <v>311</v>
      </c>
      <c r="E108" s="1320" t="s">
        <v>1</v>
      </c>
      <c r="F108" s="1457">
        <v>2</v>
      </c>
      <c r="G108" s="1448">
        <v>1</v>
      </c>
      <c r="H108" s="1445">
        <f>COUNTIF(E109:E110,"S")</f>
        <v>0</v>
      </c>
      <c r="I108" s="1468">
        <f>COUNTIFS($D:$D,"*LIFE RAFT R /I  CRANE*",$E:$E,"Serviceable") / COUNTIFS($D:$D,"*LIFE RAFT R /I  CRANE*")</f>
        <v>1</v>
      </c>
      <c r="J108" s="336"/>
      <c r="K108" s="333"/>
      <c r="L108" s="334" t="s">
        <v>66</v>
      </c>
      <c r="M108" s="447">
        <v>46082</v>
      </c>
      <c r="N108" s="366" t="s">
        <v>67</v>
      </c>
      <c r="O108" s="346"/>
      <c r="P108" s="326"/>
    </row>
    <row r="109" spans="1:16" s="230" customFormat="1" ht="39.950000000000003" customHeight="1" x14ac:dyDescent="0.2">
      <c r="A109" s="948"/>
      <c r="B109" s="1155" t="s">
        <v>312</v>
      </c>
      <c r="C109" s="1155" t="s">
        <v>313</v>
      </c>
      <c r="D109" s="1241" t="s">
        <v>311</v>
      </c>
      <c r="E109" s="1320" t="s">
        <v>1</v>
      </c>
      <c r="F109" s="1459"/>
      <c r="G109" s="1449"/>
      <c r="H109" s="1447"/>
      <c r="I109" s="1470"/>
      <c r="J109" s="335">
        <f>IF(H108/G108&gt;1,1,H108/G108)</f>
        <v>0</v>
      </c>
      <c r="K109" s="333"/>
      <c r="L109" s="322" t="s">
        <v>22</v>
      </c>
      <c r="M109" s="325">
        <v>45883</v>
      </c>
      <c r="N109" s="366" t="s">
        <v>23</v>
      </c>
      <c r="O109" s="348"/>
      <c r="P109" s="326"/>
    </row>
    <row r="110" spans="1:16" s="230" customFormat="1" ht="39.950000000000003" customHeight="1" x14ac:dyDescent="0.2">
      <c r="A110" s="948"/>
      <c r="B110" s="1180" t="s">
        <v>314</v>
      </c>
      <c r="C110" s="1205" t="s">
        <v>315</v>
      </c>
      <c r="D110" s="1242" t="s">
        <v>316</v>
      </c>
      <c r="E110" s="1320" t="s">
        <v>1</v>
      </c>
      <c r="F110" s="1457">
        <v>2</v>
      </c>
      <c r="G110" s="1448">
        <v>1</v>
      </c>
      <c r="H110" s="1445">
        <v>2</v>
      </c>
      <c r="I110" s="1468">
        <f>COUNTIFS($D:$D,"*SPARE TIRE TRAILERS CART *",$E:$E,"Serviceable") / COUNTIFS($D:$D,"*SPARE TIRE TRAILERS CART *")</f>
        <v>0.5</v>
      </c>
      <c r="J110" s="335">
        <f>IF(H110/G110&gt;1,1,H110/G110)</f>
        <v>1</v>
      </c>
      <c r="K110" s="333"/>
      <c r="L110" s="322" t="s">
        <v>317</v>
      </c>
      <c r="M110" s="447">
        <v>45947</v>
      </c>
      <c r="N110" s="366" t="s">
        <v>23</v>
      </c>
      <c r="O110" s="1465" t="s">
        <v>24</v>
      </c>
      <c r="P110" s="326"/>
    </row>
    <row r="111" spans="1:16" s="230" customFormat="1" ht="39.950000000000003" customHeight="1" x14ac:dyDescent="0.2">
      <c r="A111" s="948"/>
      <c r="B111" s="1181" t="s">
        <v>318</v>
      </c>
      <c r="C111" s="1206" t="s">
        <v>319</v>
      </c>
      <c r="D111" s="1243" t="s">
        <v>316</v>
      </c>
      <c r="E111" s="1320" t="s">
        <v>3</v>
      </c>
      <c r="F111" s="1459"/>
      <c r="G111" s="1449"/>
      <c r="H111" s="1447"/>
      <c r="I111" s="1470"/>
      <c r="J111" s="335"/>
      <c r="K111" s="333" t="s">
        <v>188</v>
      </c>
      <c r="L111" s="322" t="s">
        <v>214</v>
      </c>
      <c r="M111" s="447">
        <v>46170</v>
      </c>
      <c r="N111" s="366" t="s">
        <v>23</v>
      </c>
      <c r="O111" s="1467"/>
      <c r="P111" s="326"/>
    </row>
    <row r="112" spans="1:16" s="230" customFormat="1" ht="39.950000000000003" customHeight="1" x14ac:dyDescent="0.2">
      <c r="A112" s="948"/>
      <c r="B112" s="1150" t="s">
        <v>320</v>
      </c>
      <c r="C112" s="1151" t="s">
        <v>321</v>
      </c>
      <c r="D112" s="1172" t="s">
        <v>322</v>
      </c>
      <c r="E112" s="1320" t="s">
        <v>1</v>
      </c>
      <c r="F112" s="1457">
        <v>3</v>
      </c>
      <c r="G112" s="1448">
        <v>1</v>
      </c>
      <c r="H112" s="1445">
        <f>COUNTIF(E113:E115,"S")</f>
        <v>0</v>
      </c>
      <c r="I112" s="1468">
        <f>COUNTIFS($D:$D,"*PLATFORM, HIGH, SCISSOR STAND (7-12ft)*",$E:$E,"Serviceable") / COUNTIFS($D:$D,"*PLATFORM, HIGH, SCISSOR STAND (7-12ft)*")</f>
        <v>1</v>
      </c>
      <c r="J112" s="335">
        <f>IF(H112/G112&gt;1,1,H112/G112)</f>
        <v>0</v>
      </c>
      <c r="K112" s="333"/>
      <c r="L112" s="322" t="s">
        <v>214</v>
      </c>
      <c r="M112" s="325">
        <v>46025</v>
      </c>
      <c r="N112" s="366" t="s">
        <v>23</v>
      </c>
      <c r="O112" s="1465" t="s">
        <v>68</v>
      </c>
      <c r="P112" s="326"/>
    </row>
    <row r="113" spans="1:37" s="230" customFormat="1" ht="39.950000000000003" customHeight="1" x14ac:dyDescent="0.2">
      <c r="A113" s="948"/>
      <c r="B113" s="1152" t="s">
        <v>323</v>
      </c>
      <c r="C113" s="1153" t="s">
        <v>324</v>
      </c>
      <c r="D113" s="1246" t="s">
        <v>322</v>
      </c>
      <c r="E113" s="1320" t="s">
        <v>1</v>
      </c>
      <c r="F113" s="1458"/>
      <c r="G113" s="1451"/>
      <c r="H113" s="1446"/>
      <c r="I113" s="1469"/>
      <c r="J113" s="335"/>
      <c r="K113" s="333" t="s">
        <v>325</v>
      </c>
      <c r="L113" s="322" t="s">
        <v>58</v>
      </c>
      <c r="M113" s="325">
        <v>46069</v>
      </c>
      <c r="N113" s="366" t="s">
        <v>23</v>
      </c>
      <c r="O113" s="1466"/>
      <c r="P113" s="326"/>
    </row>
    <row r="114" spans="1:37" s="230" customFormat="1" ht="39.950000000000003" customHeight="1" x14ac:dyDescent="0.2">
      <c r="A114" s="948"/>
      <c r="B114" s="1154" t="s">
        <v>326</v>
      </c>
      <c r="C114" s="1155" t="s">
        <v>327</v>
      </c>
      <c r="D114" s="1246" t="s">
        <v>322</v>
      </c>
      <c r="E114" s="1320" t="s">
        <v>1</v>
      </c>
      <c r="F114" s="1459"/>
      <c r="G114" s="1449"/>
      <c r="H114" s="1447"/>
      <c r="I114" s="1470"/>
      <c r="J114" s="335"/>
      <c r="K114" s="333"/>
      <c r="L114" s="322" t="s">
        <v>66</v>
      </c>
      <c r="M114" s="325">
        <v>45962</v>
      </c>
      <c r="N114" s="366" t="s">
        <v>32</v>
      </c>
      <c r="O114" s="1467"/>
      <c r="P114" s="326"/>
    </row>
    <row r="115" spans="1:37" s="230" customFormat="1" ht="39.950000000000003" customHeight="1" x14ac:dyDescent="0.3">
      <c r="A115" s="948"/>
      <c r="B115" s="1207" t="s">
        <v>328</v>
      </c>
      <c r="C115" s="1208" t="s">
        <v>329</v>
      </c>
      <c r="D115" s="1209" t="s">
        <v>330</v>
      </c>
      <c r="E115" s="1320" t="s">
        <v>3</v>
      </c>
      <c r="F115" s="1457">
        <v>3</v>
      </c>
      <c r="G115" s="1448">
        <v>1</v>
      </c>
      <c r="H115" s="1445">
        <f>COUNTIF(E116:E118, "Servicable.")</f>
        <v>0</v>
      </c>
      <c r="I115" s="1468">
        <f>COUNTIFS($D:$D,"*GLESCO*",$E:$E,"Serviceable") / COUNTIFS($D:$D,"*GLESCO*")</f>
        <v>0</v>
      </c>
      <c r="J115" s="335"/>
      <c r="K115" s="1019" t="s">
        <v>331</v>
      </c>
      <c r="L115" s="334" t="s">
        <v>31</v>
      </c>
      <c r="M115" s="325">
        <v>46185</v>
      </c>
      <c r="N115" s="364"/>
      <c r="O115" s="1465" t="s">
        <v>68</v>
      </c>
      <c r="P115" s="326"/>
    </row>
    <row r="116" spans="1:37" s="230" customFormat="1" ht="39" customHeight="1" x14ac:dyDescent="0.2">
      <c r="A116" s="948"/>
      <c r="B116" s="1210" t="s">
        <v>332</v>
      </c>
      <c r="C116" s="1180" t="s">
        <v>333</v>
      </c>
      <c r="D116" s="1211" t="s">
        <v>330</v>
      </c>
      <c r="E116" s="1320" t="s">
        <v>2</v>
      </c>
      <c r="F116" s="1458"/>
      <c r="G116" s="1451"/>
      <c r="H116" s="1446"/>
      <c r="I116" s="1469"/>
      <c r="J116" s="335"/>
      <c r="K116" s="467" t="s">
        <v>334</v>
      </c>
      <c r="L116" s="334" t="s">
        <v>31</v>
      </c>
      <c r="M116" s="325">
        <v>46180</v>
      </c>
      <c r="N116" s="364" t="s">
        <v>38</v>
      </c>
      <c r="O116" s="1466"/>
      <c r="P116" s="326"/>
    </row>
    <row r="117" spans="1:37" s="480" customFormat="1" ht="39.950000000000003" customHeight="1" x14ac:dyDescent="0.25">
      <c r="A117" s="949"/>
      <c r="B117" s="1249" t="s">
        <v>335</v>
      </c>
      <c r="C117" s="1250" t="s">
        <v>336</v>
      </c>
      <c r="D117" s="1211" t="s">
        <v>330</v>
      </c>
      <c r="E117" s="1320" t="s">
        <v>3</v>
      </c>
      <c r="F117" s="1459"/>
      <c r="G117" s="1449"/>
      <c r="H117" s="1447"/>
      <c r="I117" s="1470"/>
      <c r="J117" s="812"/>
      <c r="K117" s="813" t="s">
        <v>337</v>
      </c>
      <c r="L117" s="814" t="s">
        <v>214</v>
      </c>
      <c r="M117" s="325">
        <v>46184</v>
      </c>
      <c r="N117" s="814" t="s">
        <v>38</v>
      </c>
      <c r="O117" s="1467"/>
      <c r="P117" s="811"/>
      <c r="Q117" s="811"/>
      <c r="R117" s="811"/>
      <c r="S117" s="811"/>
      <c r="T117" s="811"/>
      <c r="U117" s="811"/>
      <c r="V117" s="811"/>
      <c r="W117" s="811"/>
      <c r="X117" s="811"/>
      <c r="Y117" s="811"/>
      <c r="Z117" s="811"/>
      <c r="AA117" s="811"/>
      <c r="AB117" s="811"/>
      <c r="AC117" s="811"/>
      <c r="AD117" s="811"/>
      <c r="AE117" s="811"/>
      <c r="AF117" s="811"/>
      <c r="AG117" s="811"/>
      <c r="AH117" s="811"/>
      <c r="AI117" s="811"/>
      <c r="AJ117" s="811"/>
      <c r="AK117" s="811"/>
    </row>
    <row r="118" spans="1:37" s="230" customFormat="1" ht="39.950000000000003" customHeight="1" x14ac:dyDescent="0.2">
      <c r="A118" s="948"/>
      <c r="B118" s="1146" t="s">
        <v>338</v>
      </c>
      <c r="C118" s="1147" t="s">
        <v>339</v>
      </c>
      <c r="D118" s="1247" t="s">
        <v>340</v>
      </c>
      <c r="E118" s="1320" t="s">
        <v>1</v>
      </c>
      <c r="F118" s="1443">
        <v>2</v>
      </c>
      <c r="G118" s="1448">
        <v>1</v>
      </c>
      <c r="H118" s="1445">
        <f>COUNTIF(E119:E120,"S")</f>
        <v>0</v>
      </c>
      <c r="I118" s="1440">
        <f>COUNTIFS($D:$D,"*MLG SHOCK HOIST *",$E:$E,"Serviceable") / COUNTIFS($D:$D,"*MLG SHOCK HOIST*")</f>
        <v>1</v>
      </c>
      <c r="J118" s="331">
        <f>IF(H118/G118&gt;1,1,H118/G118)</f>
        <v>0</v>
      </c>
      <c r="K118" s="333"/>
      <c r="L118" s="322" t="s">
        <v>22</v>
      </c>
      <c r="M118" s="325">
        <v>46069</v>
      </c>
      <c r="N118" s="366" t="s">
        <v>27</v>
      </c>
      <c r="O118" s="1460" t="s">
        <v>24</v>
      </c>
      <c r="P118" s="326"/>
    </row>
    <row r="119" spans="1:37" s="230" customFormat="1" ht="39.950000000000003" customHeight="1" x14ac:dyDescent="0.2">
      <c r="A119" s="948"/>
      <c r="B119" s="1148" t="s">
        <v>341</v>
      </c>
      <c r="C119" s="1149" t="s">
        <v>342</v>
      </c>
      <c r="D119" s="1248" t="s">
        <v>340</v>
      </c>
      <c r="E119" s="1320" t="s">
        <v>1</v>
      </c>
      <c r="F119" s="1444"/>
      <c r="G119" s="1449"/>
      <c r="H119" s="1447"/>
      <c r="I119" s="1442"/>
      <c r="J119" s="331"/>
      <c r="K119" s="333"/>
      <c r="L119" s="322" t="s">
        <v>22</v>
      </c>
      <c r="M119" s="325">
        <v>46094</v>
      </c>
      <c r="N119" s="366" t="s">
        <v>27</v>
      </c>
      <c r="O119" s="1462"/>
      <c r="P119" s="326"/>
    </row>
    <row r="120" spans="1:37" s="230" customFormat="1" ht="39.950000000000003" customHeight="1" x14ac:dyDescent="0.2">
      <c r="A120" s="948"/>
      <c r="B120" s="1189" t="s">
        <v>343</v>
      </c>
      <c r="C120" s="1189" t="s">
        <v>344</v>
      </c>
      <c r="D120" s="1245" t="s">
        <v>345</v>
      </c>
      <c r="E120" s="1320" t="s">
        <v>1</v>
      </c>
      <c r="F120" s="1443">
        <v>2</v>
      </c>
      <c r="G120" s="1448">
        <v>1</v>
      </c>
      <c r="H120" s="1445">
        <v>2</v>
      </c>
      <c r="I120" s="1440">
        <f>COUNTIFS($D:$D,"*NLG WHEEL WELL PLATFORM   (NSN 4920-01-604-3771)*",$E:$E,"Serviceable") / COUNTIFS($D:$D,"*NLG WHEEL WELL PLATFORM   (NSN 4920-01-604-3771)*")</f>
        <v>1</v>
      </c>
      <c r="J120" s="331">
        <f>IF(H120/F120&gt;1,1,H120/F120)</f>
        <v>1</v>
      </c>
      <c r="K120" s="333"/>
      <c r="L120" s="349" t="s">
        <v>22</v>
      </c>
      <c r="M120" s="447">
        <v>46052</v>
      </c>
      <c r="N120" s="366" t="s">
        <v>67</v>
      </c>
      <c r="O120" s="1454" t="s">
        <v>24</v>
      </c>
      <c r="P120" s="326"/>
    </row>
    <row r="121" spans="1:37" s="230" customFormat="1" ht="39.950000000000003" customHeight="1" x14ac:dyDescent="0.2">
      <c r="A121" s="948"/>
      <c r="B121" s="1181" t="s">
        <v>346</v>
      </c>
      <c r="C121" s="1181" t="s">
        <v>347</v>
      </c>
      <c r="D121" s="1245" t="s">
        <v>345</v>
      </c>
      <c r="E121" s="1320" t="s">
        <v>1</v>
      </c>
      <c r="F121" s="1444"/>
      <c r="G121" s="1449"/>
      <c r="H121" s="1447"/>
      <c r="I121" s="1442"/>
      <c r="J121" s="322"/>
      <c r="K121" s="333"/>
      <c r="L121" s="322" t="s">
        <v>22</v>
      </c>
      <c r="M121" s="325">
        <v>46138</v>
      </c>
      <c r="N121" s="366" t="s">
        <v>23</v>
      </c>
      <c r="O121" s="1456"/>
      <c r="P121" s="326"/>
    </row>
    <row r="122" spans="1:37" s="230" customFormat="1" ht="39.950000000000003" customHeight="1" x14ac:dyDescent="0.2">
      <c r="A122" s="948"/>
      <c r="B122" s="1150" t="s">
        <v>348</v>
      </c>
      <c r="C122" s="1151" t="s">
        <v>349</v>
      </c>
      <c r="D122" s="1172" t="s">
        <v>350</v>
      </c>
      <c r="E122" s="1320" t="s">
        <v>1</v>
      </c>
      <c r="F122" s="1450">
        <v>2</v>
      </c>
      <c r="G122" s="1451"/>
      <c r="H122" s="1446"/>
      <c r="I122" s="1440">
        <f>COUNTIFS($D:$D,"*BLAST CLEANING MACHINE*",$E:$E,"Serviceable") / COUNTIFS($D:$D,"*BLAST CLEANING MACHINE*")</f>
        <v>1</v>
      </c>
      <c r="J122" s="331"/>
      <c r="K122" s="333" t="s">
        <v>351</v>
      </c>
      <c r="L122" s="322" t="s">
        <v>317</v>
      </c>
      <c r="M122" s="325">
        <v>46137</v>
      </c>
      <c r="N122" s="366" t="s">
        <v>67</v>
      </c>
      <c r="O122" s="1461"/>
      <c r="P122" s="326"/>
    </row>
    <row r="123" spans="1:37" s="230" customFormat="1" ht="39.950000000000003" customHeight="1" x14ac:dyDescent="0.2">
      <c r="A123" s="948"/>
      <c r="B123" s="1174" t="s">
        <v>352</v>
      </c>
      <c r="C123" s="1175" t="s">
        <v>353</v>
      </c>
      <c r="D123" s="1173" t="s">
        <v>350</v>
      </c>
      <c r="E123" s="1320" t="s">
        <v>1</v>
      </c>
      <c r="F123" s="1450"/>
      <c r="G123" s="1451"/>
      <c r="H123" s="1446"/>
      <c r="I123" s="1442"/>
      <c r="J123" s="331"/>
      <c r="K123" s="333"/>
      <c r="L123" s="322" t="s">
        <v>66</v>
      </c>
      <c r="M123" s="325">
        <v>46160</v>
      </c>
      <c r="N123" s="366" t="s">
        <v>67</v>
      </c>
      <c r="O123" s="1461"/>
      <c r="P123" s="326"/>
    </row>
    <row r="124" spans="1:37" s="230" customFormat="1" ht="39.950000000000003" customHeight="1" x14ac:dyDescent="0.2">
      <c r="A124" s="948"/>
      <c r="B124" s="1180" t="s">
        <v>354</v>
      </c>
      <c r="C124" s="1180" t="s">
        <v>355</v>
      </c>
      <c r="D124" s="1251" t="s">
        <v>356</v>
      </c>
      <c r="E124" s="1320" t="s">
        <v>1</v>
      </c>
      <c r="F124" s="1443">
        <v>2</v>
      </c>
      <c r="G124" s="1448">
        <v>1</v>
      </c>
      <c r="H124" s="1445">
        <f>COUNTIF(E125:E126,"S")</f>
        <v>0</v>
      </c>
      <c r="I124" s="1440">
        <f>COUNTIFS($D:$D,"*MLG INBD Door Removal Handling Fixture*",$E:$E,"Serviceable") / COUNTIFS($D:$D,"*MLG INBD Door Removal Handling Fixture*")</f>
        <v>1</v>
      </c>
      <c r="J124" s="331">
        <f>IF(H124/F124&gt;1,1,H124/F124)</f>
        <v>0</v>
      </c>
      <c r="K124" s="359" t="s">
        <v>357</v>
      </c>
      <c r="L124" s="322" t="s">
        <v>31</v>
      </c>
      <c r="M124" s="325">
        <v>46063</v>
      </c>
      <c r="N124" s="366" t="s">
        <v>23</v>
      </c>
      <c r="O124" s="1460" t="s">
        <v>24</v>
      </c>
      <c r="P124" s="326"/>
    </row>
    <row r="125" spans="1:37" s="230" customFormat="1" ht="39.950000000000003" customHeight="1" x14ac:dyDescent="0.2">
      <c r="A125" s="948"/>
      <c r="B125" s="1181" t="s">
        <v>358</v>
      </c>
      <c r="C125" s="1181" t="s">
        <v>355</v>
      </c>
      <c r="D125" s="1251" t="s">
        <v>356</v>
      </c>
      <c r="E125" s="1320" t="s">
        <v>1</v>
      </c>
      <c r="F125" s="1444"/>
      <c r="G125" s="1449"/>
      <c r="H125" s="1447"/>
      <c r="I125" s="1442"/>
      <c r="J125" s="322"/>
      <c r="K125" s="359" t="s">
        <v>357</v>
      </c>
      <c r="L125" s="322" t="s">
        <v>31</v>
      </c>
      <c r="M125" s="325">
        <v>46049</v>
      </c>
      <c r="N125" s="366" t="s">
        <v>23</v>
      </c>
      <c r="O125" s="1462"/>
      <c r="P125" s="326"/>
    </row>
    <row r="126" spans="1:37" s="230" customFormat="1" ht="39.950000000000003" customHeight="1" x14ac:dyDescent="0.2">
      <c r="A126" s="948"/>
      <c r="B126" s="1150" t="s">
        <v>359</v>
      </c>
      <c r="C126" s="1151" t="s">
        <v>360</v>
      </c>
      <c r="D126" s="1172" t="s">
        <v>361</v>
      </c>
      <c r="E126" s="1320" t="s">
        <v>2</v>
      </c>
      <c r="F126" s="1443">
        <v>5</v>
      </c>
      <c r="G126" s="1448">
        <v>1</v>
      </c>
      <c r="H126" s="1445">
        <v>3</v>
      </c>
      <c r="I126" s="1440">
        <f>COUNTIFS($D:$D,"*Fill &amp; Bleed R2D2  PUMP UNIT *",$E:$E,"Serviceable") / COUNTIFS($D:$D,"*Fill &amp; Bleed R2D2  PUMP UNIT *")</f>
        <v>0.6</v>
      </c>
      <c r="J126" s="331">
        <f>IF(H126/G126&gt;1,1,H126/G126)</f>
        <v>1</v>
      </c>
      <c r="K126" s="359"/>
      <c r="L126" s="322" t="s">
        <v>214</v>
      </c>
      <c r="M126" s="325">
        <v>46149</v>
      </c>
      <c r="N126" s="373" t="s">
        <v>362</v>
      </c>
      <c r="O126" s="1454" t="s">
        <v>363</v>
      </c>
      <c r="P126" s="326"/>
    </row>
    <row r="127" spans="1:37" s="230" customFormat="1" ht="39.950000000000003" customHeight="1" x14ac:dyDescent="0.2">
      <c r="A127" s="948"/>
      <c r="B127" s="1152" t="s">
        <v>364</v>
      </c>
      <c r="C127" s="1153" t="s">
        <v>365</v>
      </c>
      <c r="D127" s="1246" t="s">
        <v>361</v>
      </c>
      <c r="E127" s="1320" t="s">
        <v>1</v>
      </c>
      <c r="F127" s="1450"/>
      <c r="G127" s="1451"/>
      <c r="H127" s="1446"/>
      <c r="I127" s="1441"/>
      <c r="J127" s="331"/>
      <c r="K127" s="359"/>
      <c r="L127" s="322" t="s">
        <v>66</v>
      </c>
      <c r="M127" s="447">
        <v>46111</v>
      </c>
      <c r="N127" s="373" t="s">
        <v>362</v>
      </c>
      <c r="O127" s="1455"/>
      <c r="P127" s="326"/>
    </row>
    <row r="128" spans="1:37" s="230" customFormat="1" ht="39.950000000000003" customHeight="1" x14ac:dyDescent="0.2">
      <c r="A128" s="948"/>
      <c r="B128" s="1152" t="s">
        <v>366</v>
      </c>
      <c r="C128" s="1153" t="s">
        <v>367</v>
      </c>
      <c r="D128" s="1246" t="s">
        <v>361</v>
      </c>
      <c r="E128" s="1320" t="s">
        <v>1</v>
      </c>
      <c r="F128" s="1450"/>
      <c r="G128" s="1451"/>
      <c r="H128" s="1446"/>
      <c r="I128" s="1441"/>
      <c r="J128" s="331"/>
      <c r="K128" s="333"/>
      <c r="L128" s="322" t="s">
        <v>58</v>
      </c>
      <c r="M128" s="325">
        <v>46118</v>
      </c>
      <c r="N128" s="373" t="s">
        <v>38</v>
      </c>
      <c r="O128" s="1455"/>
      <c r="P128" s="326"/>
    </row>
    <row r="129" spans="1:16" s="230" customFormat="1" ht="39.950000000000003" customHeight="1" x14ac:dyDescent="0.2">
      <c r="A129" s="948"/>
      <c r="B129" s="1152" t="s">
        <v>368</v>
      </c>
      <c r="C129" s="1153" t="s">
        <v>369</v>
      </c>
      <c r="D129" s="1246" t="s">
        <v>361</v>
      </c>
      <c r="E129" s="1320" t="s">
        <v>1</v>
      </c>
      <c r="F129" s="1450"/>
      <c r="G129" s="1451"/>
      <c r="H129" s="1446"/>
      <c r="I129" s="1441"/>
      <c r="J129" s="331"/>
      <c r="K129" s="332"/>
      <c r="L129" s="322" t="s">
        <v>66</v>
      </c>
      <c r="M129" s="325">
        <v>46097</v>
      </c>
      <c r="N129" s="373" t="s">
        <v>362</v>
      </c>
      <c r="O129" s="1455"/>
      <c r="P129" s="326"/>
    </row>
    <row r="130" spans="1:16" s="230" customFormat="1" ht="39.950000000000003" customHeight="1" x14ac:dyDescent="0.2">
      <c r="A130" s="948"/>
      <c r="B130" s="1174" t="s">
        <v>370</v>
      </c>
      <c r="C130" s="1175" t="s">
        <v>371</v>
      </c>
      <c r="D130" s="1173" t="s">
        <v>361</v>
      </c>
      <c r="E130" s="1320" t="s">
        <v>2</v>
      </c>
      <c r="F130" s="1444"/>
      <c r="G130" s="1449"/>
      <c r="H130" s="1447"/>
      <c r="I130" s="1442"/>
      <c r="J130" s="322"/>
      <c r="K130" s="359"/>
      <c r="L130" s="322" t="s">
        <v>66</v>
      </c>
      <c r="M130" s="325">
        <v>46113</v>
      </c>
      <c r="N130" s="373" t="s">
        <v>362</v>
      </c>
      <c r="O130" s="1456"/>
      <c r="P130" s="326"/>
    </row>
    <row r="131" spans="1:16" s="230" customFormat="1" ht="33.75" customHeight="1" x14ac:dyDescent="0.2">
      <c r="A131" s="948"/>
      <c r="B131" s="1183" t="s">
        <v>372</v>
      </c>
      <c r="C131" s="1183" t="s">
        <v>373</v>
      </c>
      <c r="D131" s="1252" t="s">
        <v>374</v>
      </c>
      <c r="E131" s="1320" t="s">
        <v>1</v>
      </c>
      <c r="F131" s="322">
        <v>1</v>
      </c>
      <c r="G131" s="343">
        <v>1</v>
      </c>
      <c r="H131" s="340">
        <f>COUNTIF(E132,"S")</f>
        <v>0</v>
      </c>
      <c r="I131" s="1347">
        <f>COUNTIFS($D:$D,"*IDG Hand pump 20L*",$E:$E,"Serviceable") / COUNTIFS($D:$D,"*IDG Hand pump 20L*")</f>
        <v>1</v>
      </c>
      <c r="J131" s="322"/>
      <c r="K131" s="458">
        <v>45398</v>
      </c>
      <c r="L131" s="322" t="s">
        <v>66</v>
      </c>
      <c r="M131" s="325">
        <v>45891</v>
      </c>
      <c r="N131" s="373" t="s">
        <v>362</v>
      </c>
      <c r="O131" s="350" t="s">
        <v>363</v>
      </c>
      <c r="P131" s="326"/>
    </row>
    <row r="132" spans="1:16" s="230" customFormat="1" ht="39.950000000000003" customHeight="1" x14ac:dyDescent="0.2">
      <c r="A132" s="948"/>
      <c r="B132" s="1150" t="s">
        <v>375</v>
      </c>
      <c r="C132" s="1151" t="s">
        <v>376</v>
      </c>
      <c r="D132" s="1172" t="s">
        <v>377</v>
      </c>
      <c r="E132" s="1320" t="s">
        <v>1</v>
      </c>
      <c r="F132" s="1443">
        <v>4</v>
      </c>
      <c r="G132" s="1448">
        <v>1</v>
      </c>
      <c r="H132" s="1445">
        <v>4</v>
      </c>
      <c r="I132" s="1440">
        <f>COUNTIFS($D:$D,"*IDG Hand Pump 8L*",$E:$E,"Serviceable") / COUNTIFS($D:$D,"*IDG Hand Pump 8L*")</f>
        <v>0.75</v>
      </c>
      <c r="J132" s="331">
        <f>IF(H132/G132&gt;1,1,H132/G132)</f>
        <v>1</v>
      </c>
      <c r="K132" s="332"/>
      <c r="L132" s="322" t="s">
        <v>66</v>
      </c>
      <c r="M132" s="325">
        <v>45821</v>
      </c>
      <c r="N132" s="363" t="s">
        <v>23</v>
      </c>
      <c r="O132" s="1460" t="s">
        <v>363</v>
      </c>
      <c r="P132" s="326"/>
    </row>
    <row r="133" spans="1:16" s="230" customFormat="1" ht="39.950000000000003" customHeight="1" x14ac:dyDescent="0.2">
      <c r="A133" s="948"/>
      <c r="B133" s="1152" t="s">
        <v>378</v>
      </c>
      <c r="C133" s="1153" t="s">
        <v>379</v>
      </c>
      <c r="D133" s="1246" t="s">
        <v>377</v>
      </c>
      <c r="E133" s="1320" t="s">
        <v>1</v>
      </c>
      <c r="F133" s="1450"/>
      <c r="G133" s="1451"/>
      <c r="H133" s="1446"/>
      <c r="I133" s="1441"/>
      <c r="J133" s="331"/>
      <c r="K133" s="332"/>
      <c r="L133" s="322" t="s">
        <v>66</v>
      </c>
      <c r="M133" s="325">
        <v>45891</v>
      </c>
      <c r="N133" s="363" t="s">
        <v>362</v>
      </c>
      <c r="O133" s="1461"/>
      <c r="P133" s="326"/>
    </row>
    <row r="134" spans="1:16" s="230" customFormat="1" ht="39.950000000000003" customHeight="1" x14ac:dyDescent="0.2">
      <c r="A134" s="948"/>
      <c r="B134" s="1152" t="s">
        <v>380</v>
      </c>
      <c r="C134" s="1153" t="s">
        <v>381</v>
      </c>
      <c r="D134" s="1246" t="s">
        <v>377</v>
      </c>
      <c r="E134" s="1320" t="s">
        <v>1</v>
      </c>
      <c r="F134" s="1450"/>
      <c r="G134" s="1451"/>
      <c r="H134" s="1446"/>
      <c r="I134" s="1441"/>
      <c r="J134" s="331"/>
      <c r="K134" s="332"/>
      <c r="L134" s="322" t="s">
        <v>22</v>
      </c>
      <c r="M134" s="325">
        <v>45821</v>
      </c>
      <c r="N134" s="363" t="s">
        <v>23</v>
      </c>
      <c r="O134" s="1461"/>
      <c r="P134" s="326"/>
    </row>
    <row r="135" spans="1:16" s="230" customFormat="1" ht="39.950000000000003" customHeight="1" x14ac:dyDescent="0.2">
      <c r="A135" s="948"/>
      <c r="B135" s="1154" t="s">
        <v>382</v>
      </c>
      <c r="C135" s="1155" t="s">
        <v>383</v>
      </c>
      <c r="D135" s="1246" t="s">
        <v>377</v>
      </c>
      <c r="E135" s="1320" t="s">
        <v>3</v>
      </c>
      <c r="F135" s="1444"/>
      <c r="G135" s="1449"/>
      <c r="H135" s="1447"/>
      <c r="I135" s="1442"/>
      <c r="J135" s="322"/>
      <c r="K135" s="359"/>
      <c r="L135" s="322" t="s">
        <v>66</v>
      </c>
      <c r="M135" s="325">
        <v>45906</v>
      </c>
      <c r="N135" s="363" t="s">
        <v>362</v>
      </c>
      <c r="O135" s="1462"/>
      <c r="P135" s="326"/>
    </row>
    <row r="136" spans="1:16" s="230" customFormat="1" ht="39.950000000000003" customHeight="1" x14ac:dyDescent="0.2">
      <c r="A136" s="948"/>
      <c r="B136" s="1207" t="s">
        <v>384</v>
      </c>
      <c r="C136" s="1208" t="s">
        <v>385</v>
      </c>
      <c r="D136" s="1244" t="s">
        <v>386</v>
      </c>
      <c r="E136" s="1320" t="s">
        <v>1</v>
      </c>
      <c r="F136" s="1443">
        <v>3</v>
      </c>
      <c r="G136" s="1448">
        <v>2</v>
      </c>
      <c r="H136" s="1463">
        <v>3</v>
      </c>
      <c r="I136" s="1440">
        <f>COUNTIFS($D:$D,"*Compressor Unit, Rotary*",$E:$E,"Serviceable") / COUNTIFS($D:$D,"*Compressor Unit, Rotary*")</f>
        <v>0.66666666666666663</v>
      </c>
      <c r="J136" s="322"/>
      <c r="K136" s="332"/>
      <c r="L136" s="322" t="s">
        <v>52</v>
      </c>
      <c r="M136" s="450">
        <v>45981</v>
      </c>
      <c r="N136" s="373" t="s">
        <v>23</v>
      </c>
      <c r="O136" s="1454" t="s">
        <v>24</v>
      </c>
      <c r="P136" s="326"/>
    </row>
    <row r="137" spans="1:16" s="230" customFormat="1" ht="39.950000000000003" customHeight="1" x14ac:dyDescent="0.2">
      <c r="A137" s="948"/>
      <c r="B137" s="1210" t="s">
        <v>387</v>
      </c>
      <c r="C137" s="1180" t="s">
        <v>388</v>
      </c>
      <c r="D137" s="1245" t="s">
        <v>386</v>
      </c>
      <c r="E137" s="1320" t="s">
        <v>3</v>
      </c>
      <c r="F137" s="1450"/>
      <c r="G137" s="1451"/>
      <c r="H137" s="1464"/>
      <c r="I137" s="1441"/>
      <c r="J137" s="322"/>
      <c r="K137" s="332" t="s">
        <v>389</v>
      </c>
      <c r="L137" s="322" t="s">
        <v>214</v>
      </c>
      <c r="M137" s="455">
        <v>46206</v>
      </c>
      <c r="N137" s="373" t="s">
        <v>23</v>
      </c>
      <c r="O137" s="1455"/>
      <c r="P137" s="326"/>
    </row>
    <row r="138" spans="1:16" s="230" customFormat="1" ht="39.950000000000003" customHeight="1" x14ac:dyDescent="0.2">
      <c r="A138" s="948"/>
      <c r="B138" s="1236" t="s">
        <v>390</v>
      </c>
      <c r="C138" s="1181" t="s">
        <v>391</v>
      </c>
      <c r="D138" s="1245" t="s">
        <v>386</v>
      </c>
      <c r="E138" s="1320" t="s">
        <v>1</v>
      </c>
      <c r="F138" s="1444"/>
      <c r="G138" s="1449"/>
      <c r="H138" s="1447"/>
      <c r="I138" s="1441"/>
      <c r="J138" s="322"/>
      <c r="K138" s="332" t="s">
        <v>392</v>
      </c>
      <c r="L138" s="322" t="s">
        <v>31</v>
      </c>
      <c r="M138" s="450">
        <v>45949</v>
      </c>
      <c r="N138" s="373" t="s">
        <v>23</v>
      </c>
      <c r="O138" s="1456"/>
      <c r="P138" s="326"/>
    </row>
    <row r="139" spans="1:16" s="230" customFormat="1" ht="39.950000000000003" customHeight="1" x14ac:dyDescent="0.2">
      <c r="A139" s="948"/>
      <c r="B139" s="1186" t="s">
        <v>393</v>
      </c>
      <c r="C139" s="1187" t="s">
        <v>394</v>
      </c>
      <c r="D139" s="1188" t="s">
        <v>395</v>
      </c>
      <c r="E139" s="1320" t="s">
        <v>1</v>
      </c>
      <c r="F139" s="322">
        <v>1</v>
      </c>
      <c r="G139" s="343">
        <v>1</v>
      </c>
      <c r="H139" s="1043">
        <f>COUNTIF(E140,"S")</f>
        <v>0</v>
      </c>
      <c r="I139" s="1348">
        <f>COUNTIFS($D:$D,"*OVER-WING MAINTENANCE PLATFORM *",$E:$E,"Serviceable") / COUNTIFS($D:$D,"*OVER-WING MAINTENANCE PLATFORM *")</f>
        <v>1</v>
      </c>
      <c r="J139" s="1339"/>
      <c r="K139" s="333"/>
      <c r="L139" s="334" t="s">
        <v>58</v>
      </c>
      <c r="M139" s="450">
        <v>46145</v>
      </c>
      <c r="N139" s="366" t="s">
        <v>67</v>
      </c>
      <c r="O139" s="355" t="s">
        <v>24</v>
      </c>
      <c r="P139" s="326"/>
    </row>
    <row r="140" spans="1:16" s="233" customFormat="1" ht="39.950000000000003" customHeight="1" x14ac:dyDescent="0.2">
      <c r="A140" s="951"/>
      <c r="B140" s="1183" t="s">
        <v>396</v>
      </c>
      <c r="C140" s="1183" t="s">
        <v>397</v>
      </c>
      <c r="D140" s="1184" t="s">
        <v>398</v>
      </c>
      <c r="E140" s="1320" t="s">
        <v>1</v>
      </c>
      <c r="F140" s="329">
        <v>1</v>
      </c>
      <c r="G140" s="537">
        <v>1</v>
      </c>
      <c r="H140" s="1043">
        <f>COUNTIF(E141,"S")</f>
        <v>0</v>
      </c>
      <c r="I140" s="1348">
        <f>COUNTIFS($D:$D,"*FIXTURE, AIRCRAFT MAINTENANCE SCISSOR LIFT *",$E:$E,"Serviceable") / COUNTIFS($D:$D,"*FIXTURE, AIRCRAFT MAINTENANCE SCISSOR LIFT *")</f>
        <v>1</v>
      </c>
      <c r="J140" s="1333"/>
      <c r="K140" s="347"/>
      <c r="L140" s="322" t="s">
        <v>22</v>
      </c>
      <c r="M140" s="450">
        <v>45856</v>
      </c>
      <c r="N140" s="373" t="s">
        <v>27</v>
      </c>
      <c r="O140" s="1044"/>
      <c r="P140" s="326"/>
    </row>
    <row r="141" spans="1:16" ht="39.950000000000003" customHeight="1" x14ac:dyDescent="0.2">
      <c r="B141" s="1253" t="s">
        <v>399</v>
      </c>
      <c r="C141" s="1254" t="s">
        <v>400</v>
      </c>
      <c r="D141" s="1255" t="s">
        <v>401</v>
      </c>
      <c r="E141" s="1320" t="s">
        <v>1</v>
      </c>
      <c r="F141" s="1457">
        <v>2</v>
      </c>
      <c r="G141" s="1448">
        <v>1</v>
      </c>
      <c r="H141" s="1445">
        <f>COUNTIF(E142:E143,"S")</f>
        <v>0</v>
      </c>
      <c r="I141" s="1441">
        <f>COUNTIFS($D:$D,"*HTS EXTERNAL FILTER KIT*",$E:$E,"Serviceable") / COUNTIFS($D:$D,"*HTS EXTERNAL FILTER KIT*")</f>
        <v>1</v>
      </c>
      <c r="J141" s="322"/>
      <c r="K141" s="333" t="s">
        <v>402</v>
      </c>
      <c r="L141" s="322" t="s">
        <v>66</v>
      </c>
      <c r="M141" s="450">
        <v>45893</v>
      </c>
      <c r="N141" s="366" t="s">
        <v>27</v>
      </c>
      <c r="O141" s="1443" t="s">
        <v>403</v>
      </c>
      <c r="P141" s="326"/>
    </row>
    <row r="142" spans="1:16" ht="39.950000000000003" customHeight="1" x14ac:dyDescent="0.2">
      <c r="B142" s="1257" t="s">
        <v>404</v>
      </c>
      <c r="C142" s="1258" t="s">
        <v>405</v>
      </c>
      <c r="D142" s="1256" t="s">
        <v>401</v>
      </c>
      <c r="E142" s="1320" t="s">
        <v>1</v>
      </c>
      <c r="F142" s="1459"/>
      <c r="G142" s="1449"/>
      <c r="H142" s="1447"/>
      <c r="I142" s="1442"/>
      <c r="J142" s="322"/>
      <c r="K142" s="333"/>
      <c r="L142" s="322" t="s">
        <v>22</v>
      </c>
      <c r="M142" s="450">
        <v>46097</v>
      </c>
      <c r="N142" s="365" t="s">
        <v>406</v>
      </c>
      <c r="O142" s="1444"/>
      <c r="P142" s="326"/>
    </row>
    <row r="143" spans="1:16" ht="39.950000000000003" customHeight="1" x14ac:dyDescent="0.2">
      <c r="A143" s="993"/>
      <c r="B143" s="1259" t="s">
        <v>407</v>
      </c>
      <c r="C143" s="1260">
        <v>16869</v>
      </c>
      <c r="D143" s="1261" t="s">
        <v>408</v>
      </c>
      <c r="E143" s="1320" t="s">
        <v>1</v>
      </c>
      <c r="F143" s="1443">
        <v>2</v>
      </c>
      <c r="G143" s="1448">
        <v>1</v>
      </c>
      <c r="H143" s="1445">
        <f>COUNTIF(E144:E145,"S")</f>
        <v>0</v>
      </c>
      <c r="I143" s="1440">
        <f>COUNTIFS($D:$D,"*PORTABLE FLUID DISPENSER  *",$E:$E,"Serviceable") / COUNTIFS($D:$D,"*PORTABLE FLUID DISPENSER *")</f>
        <v>1</v>
      </c>
      <c r="J143" s="322"/>
      <c r="K143" s="332" t="s">
        <v>200</v>
      </c>
      <c r="L143" s="336" t="s">
        <v>22</v>
      </c>
      <c r="M143" s="455">
        <v>45824</v>
      </c>
      <c r="N143" s="373"/>
      <c r="O143" s="353"/>
      <c r="P143" s="326"/>
    </row>
    <row r="144" spans="1:16" ht="39.950000000000003" customHeight="1" x14ac:dyDescent="0.2">
      <c r="A144" s="993"/>
      <c r="B144" s="1262" t="s">
        <v>409</v>
      </c>
      <c r="C144" s="1263">
        <v>16870</v>
      </c>
      <c r="D144" s="1239" t="s">
        <v>410</v>
      </c>
      <c r="E144" s="1320" t="s">
        <v>1</v>
      </c>
      <c r="F144" s="1450"/>
      <c r="G144" s="1449"/>
      <c r="H144" s="1447"/>
      <c r="I144" s="1441"/>
      <c r="J144" s="322"/>
      <c r="K144" s="337"/>
      <c r="L144" s="336" t="s">
        <v>22</v>
      </c>
      <c r="M144" s="455">
        <v>45824</v>
      </c>
      <c r="N144" s="373" t="s">
        <v>27</v>
      </c>
      <c r="O144" s="351"/>
      <c r="P144" s="326"/>
    </row>
    <row r="145" spans="1:16" ht="39.950000000000003" customHeight="1" x14ac:dyDescent="0.2">
      <c r="A145" s="993"/>
      <c r="B145" s="1262" t="s">
        <v>411</v>
      </c>
      <c r="C145" s="1263">
        <v>16872</v>
      </c>
      <c r="D145" s="1239" t="s">
        <v>412</v>
      </c>
      <c r="E145" s="1320" t="s">
        <v>1</v>
      </c>
      <c r="F145" s="1450"/>
      <c r="G145" s="1448">
        <v>1</v>
      </c>
      <c r="H145" s="1445">
        <f>COUNTIF(E146:E147,"S")</f>
        <v>0</v>
      </c>
      <c r="I145" s="1441"/>
      <c r="J145" s="322"/>
      <c r="K145" s="337"/>
      <c r="L145" s="336" t="s">
        <v>22</v>
      </c>
      <c r="M145" s="455" t="s">
        <v>413</v>
      </c>
      <c r="N145" s="373" t="s">
        <v>27</v>
      </c>
      <c r="O145" s="351"/>
      <c r="P145" s="326"/>
    </row>
    <row r="146" spans="1:16" ht="39.950000000000003" customHeight="1" x14ac:dyDescent="0.2">
      <c r="A146" s="993"/>
      <c r="B146" s="1262" t="s">
        <v>414</v>
      </c>
      <c r="C146" s="1263">
        <v>16871</v>
      </c>
      <c r="D146" s="1239" t="s">
        <v>415</v>
      </c>
      <c r="E146" s="1320" t="s">
        <v>1</v>
      </c>
      <c r="F146" s="1450"/>
      <c r="G146" s="1449"/>
      <c r="H146" s="1447"/>
      <c r="I146" s="1441"/>
      <c r="J146" s="322"/>
      <c r="K146" s="337"/>
      <c r="L146" s="322" t="s">
        <v>22</v>
      </c>
      <c r="M146" s="455">
        <v>45828</v>
      </c>
      <c r="N146" s="373" t="s">
        <v>27</v>
      </c>
      <c r="O146" s="351"/>
      <c r="P146" s="326"/>
    </row>
    <row r="147" spans="1:16" ht="39.950000000000003" customHeight="1" x14ac:dyDescent="0.2">
      <c r="B147" s="1264" t="s">
        <v>416</v>
      </c>
      <c r="C147" s="1265">
        <v>5016</v>
      </c>
      <c r="D147" s="1240" t="s">
        <v>417</v>
      </c>
      <c r="E147" s="1320" t="s">
        <v>1</v>
      </c>
      <c r="F147" s="1444"/>
      <c r="G147" s="537">
        <v>1</v>
      </c>
      <c r="H147" s="340" t="s">
        <v>418</v>
      </c>
      <c r="I147" s="1442"/>
      <c r="J147" s="322"/>
      <c r="K147" s="333"/>
      <c r="L147" s="322" t="s">
        <v>62</v>
      </c>
      <c r="M147" s="450">
        <v>46185</v>
      </c>
      <c r="N147" s="366" t="s">
        <v>23</v>
      </c>
      <c r="O147" s="375"/>
      <c r="P147" s="326"/>
    </row>
    <row r="148" spans="1:16" ht="39.950000000000003" customHeight="1" x14ac:dyDescent="0.2">
      <c r="B148" s="1266" t="s">
        <v>419</v>
      </c>
      <c r="C148" s="1169" t="s">
        <v>420</v>
      </c>
      <c r="D148" s="1267" t="s">
        <v>421</v>
      </c>
      <c r="E148" s="1320" t="s">
        <v>1</v>
      </c>
      <c r="F148" s="323">
        <v>1</v>
      </c>
      <c r="G148" s="537">
        <v>1</v>
      </c>
      <c r="H148" s="330">
        <f>COUNTIF(E149,"S")</f>
        <v>0</v>
      </c>
      <c r="I148" s="1340">
        <f>COUNTIFS($D:$D,"*FUEL TEST STATION*",$E:$E,"Serviceable") / COUNTIFS($D:$D,"*FUEL TEST STATION*")</f>
        <v>1</v>
      </c>
      <c r="J148" s="322"/>
      <c r="K148" s="337" t="s">
        <v>422</v>
      </c>
      <c r="L148" s="323" t="s">
        <v>31</v>
      </c>
      <c r="M148" s="450">
        <v>45527</v>
      </c>
      <c r="N148" s="373" t="s">
        <v>32</v>
      </c>
      <c r="O148" s="352"/>
      <c r="P148" s="326"/>
    </row>
    <row r="149" spans="1:16" ht="39.950000000000003" customHeight="1" x14ac:dyDescent="0.2">
      <c r="B149" s="1263" t="s">
        <v>423</v>
      </c>
      <c r="C149" s="1180" t="s">
        <v>424</v>
      </c>
      <c r="D149" s="1268" t="s">
        <v>425</v>
      </c>
      <c r="E149" s="1320" t="s">
        <v>1</v>
      </c>
      <c r="F149" s="1443">
        <v>2</v>
      </c>
      <c r="G149" s="343">
        <v>1</v>
      </c>
      <c r="H149" s="354">
        <v>1</v>
      </c>
      <c r="I149" s="1440">
        <f>COUNTIFS($D:$D,"*MLG LIFT TRAILER*",$E:$E,"Serviceable") / COUNTIFS($D:$D,"*MLG LIFT TRAILER*")</f>
        <v>1</v>
      </c>
      <c r="J149" s="322"/>
      <c r="K149" s="333" t="s">
        <v>426</v>
      </c>
      <c r="L149" s="322" t="s">
        <v>66</v>
      </c>
      <c r="M149" s="325">
        <v>45877</v>
      </c>
      <c r="N149" s="366" t="s">
        <v>27</v>
      </c>
      <c r="O149" s="327" t="s">
        <v>427</v>
      </c>
      <c r="P149" s="326"/>
    </row>
    <row r="150" spans="1:16" ht="39.950000000000003" customHeight="1" x14ac:dyDescent="0.2">
      <c r="B150" s="1270" t="s">
        <v>428</v>
      </c>
      <c r="C150" s="1181" t="s">
        <v>429</v>
      </c>
      <c r="D150" s="1271" t="s">
        <v>425</v>
      </c>
      <c r="E150" s="1320" t="s">
        <v>1</v>
      </c>
      <c r="F150" s="1444"/>
      <c r="G150" s="343">
        <v>1</v>
      </c>
      <c r="H150" s="354">
        <v>1</v>
      </c>
      <c r="I150" s="1442"/>
      <c r="J150" s="322"/>
      <c r="K150" s="333" t="s">
        <v>430</v>
      </c>
      <c r="L150" s="322" t="s">
        <v>31</v>
      </c>
      <c r="M150" s="325">
        <v>46234</v>
      </c>
      <c r="N150" s="366" t="s">
        <v>27</v>
      </c>
      <c r="O150" s="327"/>
      <c r="P150" s="326"/>
    </row>
    <row r="151" spans="1:16" s="230" customFormat="1" ht="39.950000000000003" customHeight="1" x14ac:dyDescent="0.2">
      <c r="A151" s="948"/>
      <c r="B151" s="1272" t="s">
        <v>431</v>
      </c>
      <c r="C151" s="1273" t="s">
        <v>432</v>
      </c>
      <c r="D151" s="1274" t="s">
        <v>433</v>
      </c>
      <c r="E151" s="1320" t="s">
        <v>2</v>
      </c>
      <c r="F151" s="1443">
        <v>3</v>
      </c>
      <c r="G151" s="1448">
        <v>1</v>
      </c>
      <c r="H151" s="1452">
        <v>3</v>
      </c>
      <c r="I151" s="1440">
        <f>COUNTIFS($D:$D,"*HYD JACKING UNIT (01-562-6243)           *",$E:$E,"Serviceable") / COUNTIFS($D:$D,"*HYD JACKING UNIT (01-562-6243)           *")</f>
        <v>0.66666666666666663</v>
      </c>
      <c r="J151" s="322"/>
      <c r="K151" s="333" t="s">
        <v>434</v>
      </c>
      <c r="L151" s="333" t="s">
        <v>52</v>
      </c>
      <c r="M151" s="447">
        <v>46142</v>
      </c>
      <c r="N151" s="368" t="s">
        <v>23</v>
      </c>
      <c r="O151" s="1454" t="s">
        <v>24</v>
      </c>
      <c r="P151" s="326"/>
    </row>
    <row r="152" spans="1:16" s="230" customFormat="1" ht="39.950000000000003" customHeight="1" x14ac:dyDescent="0.2">
      <c r="A152" s="948"/>
      <c r="B152" s="1275" t="s">
        <v>435</v>
      </c>
      <c r="C152" s="1276" t="s">
        <v>436</v>
      </c>
      <c r="D152" s="1277" t="s">
        <v>433</v>
      </c>
      <c r="E152" s="1320" t="s">
        <v>1</v>
      </c>
      <c r="F152" s="1450"/>
      <c r="G152" s="1451"/>
      <c r="H152" s="1446"/>
      <c r="I152" s="1441"/>
      <c r="J152" s="322"/>
      <c r="K152" s="333"/>
      <c r="L152" s="333" t="s">
        <v>62</v>
      </c>
      <c r="M152" s="557">
        <v>46180</v>
      </c>
      <c r="N152" s="368" t="s">
        <v>23</v>
      </c>
      <c r="O152" s="1455"/>
      <c r="P152" s="326"/>
    </row>
    <row r="153" spans="1:16" s="230" customFormat="1" ht="39.75" customHeight="1" x14ac:dyDescent="0.2">
      <c r="A153" s="948"/>
      <c r="B153" s="1278" t="s">
        <v>437</v>
      </c>
      <c r="C153" s="1279" t="s">
        <v>438</v>
      </c>
      <c r="D153" s="1277" t="s">
        <v>433</v>
      </c>
      <c r="E153" s="1320" t="s">
        <v>1</v>
      </c>
      <c r="F153" s="1444"/>
      <c r="G153" s="1449"/>
      <c r="H153" s="1453"/>
      <c r="I153" s="1442"/>
      <c r="J153" s="322"/>
      <c r="K153" s="333"/>
      <c r="L153" s="333" t="s">
        <v>52</v>
      </c>
      <c r="M153" s="447">
        <v>46266</v>
      </c>
      <c r="N153" s="368" t="s">
        <v>38</v>
      </c>
      <c r="O153" s="1456"/>
      <c r="P153" s="326"/>
    </row>
    <row r="154" spans="1:16" s="230" customFormat="1" ht="48" customHeight="1" x14ac:dyDescent="0.2">
      <c r="A154" s="948"/>
      <c r="B154" s="1259" t="s">
        <v>439</v>
      </c>
      <c r="C154" s="1208" t="s">
        <v>440</v>
      </c>
      <c r="D154" s="1209" t="s">
        <v>441</v>
      </c>
      <c r="E154" s="1320" t="s">
        <v>1</v>
      </c>
      <c r="F154" s="1443">
        <v>3</v>
      </c>
      <c r="G154" s="1448">
        <v>1</v>
      </c>
      <c r="H154" s="1457">
        <v>0</v>
      </c>
      <c r="I154" s="1440">
        <f>COUNTIFS($D:$D,"*HYDRAULIC PUMPING UNIT*",$E:$E,"Serviceable") / COUNTIFS($D:$D,"*HYDRAULIC PUMPING UNIT*")</f>
        <v>0.66666666666666663</v>
      </c>
      <c r="J154" s="322"/>
      <c r="K154" s="342"/>
      <c r="L154" s="333" t="s">
        <v>52</v>
      </c>
      <c r="M154" s="456">
        <v>45973</v>
      </c>
      <c r="N154" s="368" t="s">
        <v>23</v>
      </c>
      <c r="O154" s="360"/>
      <c r="P154" s="326"/>
    </row>
    <row r="155" spans="1:16" s="230" customFormat="1" ht="39.950000000000003" customHeight="1" x14ac:dyDescent="0.2">
      <c r="A155" s="948"/>
      <c r="B155" s="1262" t="s">
        <v>442</v>
      </c>
      <c r="C155" s="1263" t="s">
        <v>443</v>
      </c>
      <c r="D155" s="1271" t="s">
        <v>444</v>
      </c>
      <c r="E155" s="1320" t="s">
        <v>2</v>
      </c>
      <c r="F155" s="1450"/>
      <c r="G155" s="1451"/>
      <c r="H155" s="1458"/>
      <c r="I155" s="1441"/>
      <c r="J155" s="322"/>
      <c r="K155" s="333" t="s">
        <v>445</v>
      </c>
      <c r="L155" s="333" t="s">
        <v>52</v>
      </c>
      <c r="M155" s="447">
        <v>45962</v>
      </c>
      <c r="N155" s="368" t="s">
        <v>23</v>
      </c>
      <c r="O155" s="1454" t="s">
        <v>24</v>
      </c>
      <c r="P155" s="326"/>
    </row>
    <row r="156" spans="1:16" s="230" customFormat="1" ht="39.950000000000003" customHeight="1" x14ac:dyDescent="0.2">
      <c r="A156" s="948"/>
      <c r="B156" s="1264" t="s">
        <v>446</v>
      </c>
      <c r="C156" s="1280" t="s">
        <v>447</v>
      </c>
      <c r="D156" s="1269" t="s">
        <v>444</v>
      </c>
      <c r="E156" s="1320" t="s">
        <v>1</v>
      </c>
      <c r="F156" s="1444"/>
      <c r="G156" s="1449"/>
      <c r="H156" s="1459"/>
      <c r="I156" s="1442"/>
      <c r="J156" s="322"/>
      <c r="K156" s="333" t="s">
        <v>448</v>
      </c>
      <c r="L156" s="333" t="s">
        <v>214</v>
      </c>
      <c r="M156" s="447">
        <v>46309</v>
      </c>
      <c r="N156" s="368" t="s">
        <v>23</v>
      </c>
      <c r="O156" s="1456"/>
      <c r="P156" s="326"/>
    </row>
    <row r="157" spans="1:16" ht="39.950000000000003" customHeight="1" x14ac:dyDescent="0.2">
      <c r="B157" s="1282" t="s">
        <v>53</v>
      </c>
      <c r="C157" s="1282"/>
      <c r="D157" s="1281" t="s">
        <v>449</v>
      </c>
      <c r="E157" s="1320" t="s">
        <v>3</v>
      </c>
      <c r="F157" s="322">
        <v>1</v>
      </c>
      <c r="G157" s="343">
        <v>1</v>
      </c>
      <c r="H157" s="322" t="s">
        <v>53</v>
      </c>
      <c r="I157" s="1347">
        <f>COUNTIFS($D:$D,"*NFLATABLE ENGINE TENT*",$E:$E,"Serviceable") / COUNTIFS($D:$D,"*NFLATABLE ENGINE TENT*")</f>
        <v>0</v>
      </c>
      <c r="J157" s="322"/>
      <c r="K157" s="333" t="s">
        <v>450</v>
      </c>
      <c r="L157" s="333" t="s">
        <v>22</v>
      </c>
      <c r="M157" s="325" t="s">
        <v>53</v>
      </c>
      <c r="N157" s="368" t="s">
        <v>27</v>
      </c>
      <c r="O157" s="322"/>
      <c r="P157" s="326"/>
    </row>
    <row r="158" spans="1:16" ht="39.950000000000003" customHeight="1" x14ac:dyDescent="0.2">
      <c r="B158" s="1284" t="s">
        <v>451</v>
      </c>
      <c r="C158" s="1285">
        <v>312579</v>
      </c>
      <c r="D158" s="1286" t="s">
        <v>452</v>
      </c>
      <c r="E158" s="1320" t="s">
        <v>1</v>
      </c>
      <c r="F158" s="1443">
        <v>2</v>
      </c>
      <c r="G158" s="1448">
        <v>1</v>
      </c>
      <c r="H158" s="1443">
        <v>1</v>
      </c>
      <c r="I158" s="1440">
        <f>COUNTIFS($D:$D,"*Cart Caddy HD*",$E:$E,"Serviceable") / COUNTIFS($D:$D,"*Cart Caddy HD*")</f>
        <v>1</v>
      </c>
      <c r="J158" s="322"/>
      <c r="K158" s="333"/>
      <c r="L158" s="333" t="s">
        <v>66</v>
      </c>
      <c r="M158" s="325">
        <v>45539</v>
      </c>
      <c r="N158" s="368" t="s">
        <v>23</v>
      </c>
      <c r="O158" s="322"/>
      <c r="P158" s="326"/>
    </row>
    <row r="159" spans="1:16" ht="39.950000000000003" customHeight="1" x14ac:dyDescent="0.2">
      <c r="B159" s="1288" t="s">
        <v>79</v>
      </c>
      <c r="C159" s="1289">
        <v>309294</v>
      </c>
      <c r="D159" s="1287" t="s">
        <v>452</v>
      </c>
      <c r="E159" s="1320" t="s">
        <v>1</v>
      </c>
      <c r="F159" s="1444"/>
      <c r="G159" s="1449"/>
      <c r="H159" s="1444"/>
      <c r="I159" s="1442"/>
      <c r="J159" s="322"/>
      <c r="K159" s="333"/>
      <c r="L159" s="333" t="s">
        <v>66</v>
      </c>
      <c r="M159" s="325">
        <v>46217</v>
      </c>
      <c r="N159" s="368" t="s">
        <v>23</v>
      </c>
      <c r="O159" s="322"/>
      <c r="P159" s="326"/>
    </row>
    <row r="160" spans="1:16" ht="48.75" customHeight="1" x14ac:dyDescent="0.2">
      <c r="B160" s="1290" t="s">
        <v>453</v>
      </c>
      <c r="C160" s="1283">
        <v>1000317</v>
      </c>
      <c r="D160" s="1291" t="s">
        <v>454</v>
      </c>
      <c r="E160" s="1320" t="s">
        <v>1</v>
      </c>
      <c r="F160" s="1443">
        <v>1</v>
      </c>
      <c r="G160" s="322">
        <v>1</v>
      </c>
      <c r="H160" s="322"/>
      <c r="I160" s="1440">
        <f>COUNTIFS($D:$D,"*20-AOX-2149*",$E:$E,"Serviceable") / COUNTIFS($D:$D,"*20-AOX-2149*")</f>
        <v>1</v>
      </c>
      <c r="J160" s="322"/>
      <c r="K160" s="359" t="s">
        <v>455</v>
      </c>
      <c r="L160" s="333" t="s">
        <v>31</v>
      </c>
      <c r="M160" s="455" t="s">
        <v>53</v>
      </c>
      <c r="N160" s="368" t="s">
        <v>32</v>
      </c>
      <c r="O160" s="322"/>
      <c r="P160" s="326"/>
    </row>
    <row r="161" spans="2:16" ht="56.25" customHeight="1" x14ac:dyDescent="0.2">
      <c r="B161" s="1292" t="s">
        <v>453</v>
      </c>
      <c r="C161" s="1229">
        <v>1000318</v>
      </c>
      <c r="D161" s="1293" t="s">
        <v>456</v>
      </c>
      <c r="E161" s="1320" t="s">
        <v>1</v>
      </c>
      <c r="F161" s="1444"/>
      <c r="G161" s="322">
        <v>1</v>
      </c>
      <c r="H161" s="322"/>
      <c r="I161" s="1442"/>
      <c r="J161" s="322"/>
      <c r="K161" s="359" t="s">
        <v>455</v>
      </c>
      <c r="L161" s="333" t="s">
        <v>31</v>
      </c>
      <c r="M161" s="447" t="s">
        <v>53</v>
      </c>
      <c r="N161" s="322" t="s">
        <v>32</v>
      </c>
      <c r="O161" s="322"/>
      <c r="P161" s="326"/>
    </row>
    <row r="162" spans="2:16" ht="39.950000000000003" customHeight="1" x14ac:dyDescent="0.2">
      <c r="B162" s="324"/>
      <c r="C162" s="324"/>
      <c r="E162" s="326"/>
      <c r="F162" s="324"/>
      <c r="G162" s="324"/>
      <c r="H162" s="324"/>
      <c r="I162" s="1349"/>
      <c r="J162" s="324"/>
      <c r="K162" s="326"/>
      <c r="L162" s="326"/>
      <c r="M162" s="326"/>
      <c r="N162" s="324"/>
      <c r="O162" s="324"/>
      <c r="P162" s="326"/>
    </row>
    <row r="163" spans="2:16" ht="39.950000000000003" customHeight="1" x14ac:dyDescent="0.2">
      <c r="B163" s="324"/>
      <c r="C163" s="324"/>
      <c r="E163" s="326"/>
      <c r="F163" s="324"/>
      <c r="G163" s="324"/>
      <c r="H163" s="324"/>
      <c r="I163" s="1349"/>
      <c r="J163" s="324"/>
      <c r="K163" s="326"/>
      <c r="L163" s="326"/>
      <c r="M163" s="326"/>
      <c r="N163" s="324"/>
      <c r="O163" s="324"/>
      <c r="P163" s="326"/>
    </row>
    <row r="164" spans="2:16" ht="39.950000000000003" customHeight="1" x14ac:dyDescent="0.2">
      <c r="B164" s="324"/>
      <c r="C164" s="324"/>
      <c r="E164" s="326"/>
      <c r="F164" s="324"/>
      <c r="G164" s="324"/>
      <c r="H164" s="324"/>
      <c r="I164" s="1349"/>
      <c r="J164" s="324"/>
      <c r="K164" s="326"/>
      <c r="L164" s="326"/>
      <c r="M164" s="326"/>
      <c r="N164" s="324"/>
      <c r="O164" s="324"/>
      <c r="P164" s="326"/>
    </row>
    <row r="165" spans="2:16" ht="39.950000000000003" customHeight="1" x14ac:dyDescent="0.2">
      <c r="B165" s="324"/>
      <c r="C165" s="324"/>
      <c r="E165" s="326"/>
      <c r="F165" s="324"/>
      <c r="G165" s="324"/>
      <c r="H165" s="324"/>
      <c r="I165" s="1349"/>
      <c r="J165" s="324"/>
      <c r="K165" s="326"/>
      <c r="L165" s="326"/>
      <c r="M165" s="326"/>
      <c r="N165" s="324"/>
      <c r="O165" s="324"/>
      <c r="P165" s="326"/>
    </row>
    <row r="166" spans="2:16" ht="39.950000000000003" customHeight="1" x14ac:dyDescent="0.2">
      <c r="B166" s="324"/>
      <c r="C166" s="324"/>
      <c r="E166" s="326"/>
      <c r="F166" s="324"/>
      <c r="G166" s="324"/>
      <c r="H166" s="324"/>
      <c r="I166" s="1349"/>
      <c r="J166" s="324"/>
      <c r="K166" s="326"/>
      <c r="L166" s="326"/>
      <c r="M166" s="326"/>
      <c r="N166" s="324"/>
      <c r="O166" s="324"/>
      <c r="P166" s="326"/>
    </row>
    <row r="167" spans="2:16" ht="39.950000000000003" customHeight="1" x14ac:dyDescent="0.25">
      <c r="E167" s="326"/>
      <c r="O167" s="2"/>
    </row>
    <row r="168" spans="2:16" ht="39.950000000000003" customHeight="1" x14ac:dyDescent="0.25">
      <c r="O168" s="2"/>
    </row>
    <row r="169" spans="2:16" ht="39.950000000000003" customHeight="1" x14ac:dyDescent="0.25">
      <c r="O169" s="2"/>
    </row>
    <row r="170" spans="2:16" ht="39.950000000000003" customHeight="1" x14ac:dyDescent="0.25">
      <c r="O170" s="2"/>
    </row>
    <row r="171" spans="2:16" ht="39.950000000000003" customHeight="1" x14ac:dyDescent="0.25">
      <c r="O171" s="2"/>
    </row>
    <row r="172" spans="2:16" ht="39.950000000000003" customHeight="1" x14ac:dyDescent="0.25">
      <c r="O172" s="2"/>
    </row>
    <row r="173" spans="2:16" ht="39.950000000000003" customHeight="1" x14ac:dyDescent="0.25">
      <c r="O173" s="2"/>
    </row>
    <row r="174" spans="2:16" ht="39.950000000000003" customHeight="1" x14ac:dyDescent="0.25">
      <c r="O174" s="2"/>
    </row>
    <row r="175" spans="2:16" ht="39.950000000000003" customHeight="1" x14ac:dyDescent="0.25"/>
    <row r="176" spans="2:16" ht="39.950000000000003" customHeight="1" x14ac:dyDescent="0.25"/>
    <row r="177" ht="39.950000000000003" customHeight="1" x14ac:dyDescent="0.25"/>
    <row r="178" ht="39.950000000000003" customHeight="1" x14ac:dyDescent="0.25"/>
    <row r="179" ht="39.950000000000003" customHeight="1" x14ac:dyDescent="0.25"/>
    <row r="180" ht="39.950000000000003" customHeight="1" x14ac:dyDescent="0.25"/>
    <row r="181" ht="39.950000000000003" customHeight="1" x14ac:dyDescent="0.25"/>
    <row r="182" ht="39.950000000000003" customHeight="1" x14ac:dyDescent="0.25"/>
    <row r="183" ht="39.950000000000003" customHeight="1" x14ac:dyDescent="0.25"/>
    <row r="184" ht="39.950000000000003" customHeight="1" x14ac:dyDescent="0.25"/>
    <row r="185" ht="39.950000000000003" customHeight="1" x14ac:dyDescent="0.25"/>
    <row r="186" ht="39.950000000000003" customHeight="1" x14ac:dyDescent="0.25"/>
  </sheetData>
  <sheetProtection formatCells="0" formatColumns="0" formatRows="0" insertColumns="0" insertRows="0" insertHyperlinks="0" deleteColumns="0" deleteRows="0" sort="0" autoFilter="0" pivotTables="0"/>
  <autoFilter ref="B3:I161" xr:uid="{A5AB1648-1E96-457B-B32F-7089639D9FC9}"/>
  <mergeCells count="195">
    <mergeCell ref="D1:K1"/>
    <mergeCell ref="B2:C2"/>
    <mergeCell ref="F18:F21"/>
    <mergeCell ref="G18:G21"/>
    <mergeCell ref="H18:H21"/>
    <mergeCell ref="O18:O21"/>
    <mergeCell ref="J6:J9"/>
    <mergeCell ref="J18:J21"/>
    <mergeCell ref="I18:I21"/>
    <mergeCell ref="F11:F12"/>
    <mergeCell ref="G11:G12"/>
    <mergeCell ref="H11:H12"/>
    <mergeCell ref="O11:O12"/>
    <mergeCell ref="F13:F14"/>
    <mergeCell ref="G13:G14"/>
    <mergeCell ref="H13:H14"/>
    <mergeCell ref="O13:O14"/>
    <mergeCell ref="I11:I12"/>
    <mergeCell ref="J4:J5"/>
    <mergeCell ref="I4:I5"/>
    <mergeCell ref="I6:I10"/>
    <mergeCell ref="I13:I14"/>
    <mergeCell ref="I15:I16"/>
    <mergeCell ref="F22:F23"/>
    <mergeCell ref="G22:G23"/>
    <mergeCell ref="H22:H23"/>
    <mergeCell ref="O22:O23"/>
    <mergeCell ref="F4:F5"/>
    <mergeCell ref="G4:G5"/>
    <mergeCell ref="H4:H5"/>
    <mergeCell ref="O4:O5"/>
    <mergeCell ref="F6:F9"/>
    <mergeCell ref="G6:G9"/>
    <mergeCell ref="H6:H9"/>
    <mergeCell ref="O6:O9"/>
    <mergeCell ref="F15:F16"/>
    <mergeCell ref="G15:G16"/>
    <mergeCell ref="H15:H16"/>
    <mergeCell ref="O15:O16"/>
    <mergeCell ref="I22:I23"/>
    <mergeCell ref="F24:F27"/>
    <mergeCell ref="G24:G27"/>
    <mergeCell ref="H24:H27"/>
    <mergeCell ref="O24:O27"/>
    <mergeCell ref="F28:F31"/>
    <mergeCell ref="G28:G31"/>
    <mergeCell ref="H28:H31"/>
    <mergeCell ref="O28:O31"/>
    <mergeCell ref="I24:I27"/>
    <mergeCell ref="I28:I31"/>
    <mergeCell ref="F33:F35"/>
    <mergeCell ref="G33:G35"/>
    <mergeCell ref="H33:H35"/>
    <mergeCell ref="O33:O35"/>
    <mergeCell ref="G37:G38"/>
    <mergeCell ref="H37:H38"/>
    <mergeCell ref="O37:O39"/>
    <mergeCell ref="I33:I35"/>
    <mergeCell ref="I37:I39"/>
    <mergeCell ref="F37:F39"/>
    <mergeCell ref="F40:F42"/>
    <mergeCell ref="G40:G42"/>
    <mergeCell ref="H40:H42"/>
    <mergeCell ref="O40:O42"/>
    <mergeCell ref="I40:I42"/>
    <mergeCell ref="F44:F48"/>
    <mergeCell ref="G44:G48"/>
    <mergeCell ref="H44:H48"/>
    <mergeCell ref="I44:I48"/>
    <mergeCell ref="O44:O48"/>
    <mergeCell ref="G58:G62"/>
    <mergeCell ref="H58:H62"/>
    <mergeCell ref="O58:O62"/>
    <mergeCell ref="F64:F67"/>
    <mergeCell ref="G64:G67"/>
    <mergeCell ref="H64:H67"/>
    <mergeCell ref="O64:O67"/>
    <mergeCell ref="F53:F55"/>
    <mergeCell ref="G53:G55"/>
    <mergeCell ref="H53:H55"/>
    <mergeCell ref="O53:O55"/>
    <mergeCell ref="F56:F57"/>
    <mergeCell ref="G56:G57"/>
    <mergeCell ref="H56:H57"/>
    <mergeCell ref="O56:O57"/>
    <mergeCell ref="I53:I55"/>
    <mergeCell ref="I58:I63"/>
    <mergeCell ref="F58:F63"/>
    <mergeCell ref="I64:I67"/>
    <mergeCell ref="I56:I57"/>
    <mergeCell ref="F68:F69"/>
    <mergeCell ref="G68:G69"/>
    <mergeCell ref="H68:H69"/>
    <mergeCell ref="O68:O69"/>
    <mergeCell ref="F102:F107"/>
    <mergeCell ref="G102:G107"/>
    <mergeCell ref="H102:H107"/>
    <mergeCell ref="F70:F71"/>
    <mergeCell ref="G70:G71"/>
    <mergeCell ref="H70:H71"/>
    <mergeCell ref="O70:O71"/>
    <mergeCell ref="F85:F101"/>
    <mergeCell ref="G85:G101"/>
    <mergeCell ref="H85:H101"/>
    <mergeCell ref="O85:O101"/>
    <mergeCell ref="I102:I107"/>
    <mergeCell ref="O102:O107"/>
    <mergeCell ref="I68:I69"/>
    <mergeCell ref="I70:I71"/>
    <mergeCell ref="F72:F84"/>
    <mergeCell ref="I72:I84"/>
    <mergeCell ref="I85:I101"/>
    <mergeCell ref="O110:O111"/>
    <mergeCell ref="F112:F114"/>
    <mergeCell ref="G112:G114"/>
    <mergeCell ref="H112:H114"/>
    <mergeCell ref="O112:O114"/>
    <mergeCell ref="F108:F109"/>
    <mergeCell ref="G108:G109"/>
    <mergeCell ref="H108:H109"/>
    <mergeCell ref="F110:F111"/>
    <mergeCell ref="G110:G111"/>
    <mergeCell ref="H110:H111"/>
    <mergeCell ref="I110:I111"/>
    <mergeCell ref="I108:I109"/>
    <mergeCell ref="I112:I114"/>
    <mergeCell ref="F115:F117"/>
    <mergeCell ref="G115:G117"/>
    <mergeCell ref="H115:H117"/>
    <mergeCell ref="O115:O117"/>
    <mergeCell ref="F118:F119"/>
    <mergeCell ref="G118:G119"/>
    <mergeCell ref="H118:H119"/>
    <mergeCell ref="O118:O119"/>
    <mergeCell ref="F120:F121"/>
    <mergeCell ref="G120:G121"/>
    <mergeCell ref="H120:H121"/>
    <mergeCell ref="O120:O121"/>
    <mergeCell ref="I115:I117"/>
    <mergeCell ref="I118:I119"/>
    <mergeCell ref="F122:F123"/>
    <mergeCell ref="G122:G123"/>
    <mergeCell ref="H122:H123"/>
    <mergeCell ref="O122:O123"/>
    <mergeCell ref="I120:I121"/>
    <mergeCell ref="F124:F125"/>
    <mergeCell ref="G124:G125"/>
    <mergeCell ref="H124:H125"/>
    <mergeCell ref="O124:O125"/>
    <mergeCell ref="I122:I123"/>
    <mergeCell ref="O126:O130"/>
    <mergeCell ref="I124:I125"/>
    <mergeCell ref="I126:I130"/>
    <mergeCell ref="O151:O153"/>
    <mergeCell ref="F154:F156"/>
    <mergeCell ref="G154:G156"/>
    <mergeCell ref="H154:H156"/>
    <mergeCell ref="O155:O156"/>
    <mergeCell ref="F132:F135"/>
    <mergeCell ref="G132:G135"/>
    <mergeCell ref="H132:H135"/>
    <mergeCell ref="O132:O135"/>
    <mergeCell ref="H136:H138"/>
    <mergeCell ref="O136:O138"/>
    <mergeCell ref="O141:O142"/>
    <mergeCell ref="I132:I135"/>
    <mergeCell ref="I136:I138"/>
    <mergeCell ref="G136:G138"/>
    <mergeCell ref="F136:F138"/>
    <mergeCell ref="I141:I142"/>
    <mergeCell ref="F141:F142"/>
    <mergeCell ref="G141:G142"/>
    <mergeCell ref="F126:F130"/>
    <mergeCell ref="G126:G130"/>
    <mergeCell ref="I143:I147"/>
    <mergeCell ref="I149:I150"/>
    <mergeCell ref="I151:I153"/>
    <mergeCell ref="F149:F150"/>
    <mergeCell ref="F160:F161"/>
    <mergeCell ref="H126:H130"/>
    <mergeCell ref="G143:G144"/>
    <mergeCell ref="H143:H144"/>
    <mergeCell ref="F158:F159"/>
    <mergeCell ref="G158:G159"/>
    <mergeCell ref="H158:H159"/>
    <mergeCell ref="F143:F147"/>
    <mergeCell ref="G145:G146"/>
    <mergeCell ref="H145:H146"/>
    <mergeCell ref="F151:F153"/>
    <mergeCell ref="G151:G153"/>
    <mergeCell ref="H151:H153"/>
    <mergeCell ref="H141:H142"/>
    <mergeCell ref="I154:I156"/>
    <mergeCell ref="I158:I159"/>
    <mergeCell ref="I160:I161"/>
  </mergeCells>
  <conditionalFormatting sqref="E4:E161">
    <cfRule type="containsText" dxfId="235" priority="1" stopIfTrue="1" operator="containsText" text="Deployed">
      <formula>NOT(ISERROR(SEARCH("Deployed",E4)))</formula>
    </cfRule>
    <cfRule type="containsText" dxfId="234" priority="15" stopIfTrue="1" operator="containsText" text="Inspection/cal">
      <formula>NOT(ISERROR(SEARCH("Inspection/cal",E4)))</formula>
    </cfRule>
    <cfRule type="containsText" dxfId="233" priority="16" stopIfTrue="1" operator="containsText" text="Unserviceable">
      <formula>NOT(ISERROR(SEARCH("Unserviceable",E4)))</formula>
    </cfRule>
  </conditionalFormatting>
  <conditionalFormatting sqref="M4:N161">
    <cfRule type="cellIs" dxfId="232" priority="6" stopIfTrue="1" operator="equal">
      <formula>"TBD"</formula>
    </cfRule>
  </conditionalFormatting>
  <dataValidations xWindow="565" yWindow="696" count="2">
    <dataValidation type="list" allowBlank="1" showInputMessage="1" showErrorMessage="1" errorTitle="Sorry" error="Sorry, Use One of Listed Values" promptTitle="Please Select Location" prompt="6 Hanger_x000a_1 Hanger_x000a_47 North Start Drive_x000a_7 Hanger Shelter_x000a_TEME_x000a_Deployed_x000a_North Ramp_x000a_West Ramp_x000a_6 Hanger POL Room_x000a_Supply to or from Pylon" sqref="N4:N159" xr:uid="{03C35F4A-2AE9-4D90-9BFE-556F1A740DC7}">
      <formula1>#REF!</formula1>
    </dataValidation>
    <dataValidation type="list" allowBlank="1" showInputMessage="1" showErrorMessage="1" sqref="E4:E161" xr:uid="{B5EB4172-9B98-4940-85E5-F584C06D2CE1}">
      <formula1>$L$1:$O$1</formula1>
    </dataValidation>
  </dataValidations>
  <printOptions horizontalCentered="1"/>
  <pageMargins left="3.937007874015748E-2" right="3.937007874015748E-2" top="0.15748031496062992" bottom="0.15748031496062992" header="0.11811023622047245" footer="0.11811023622047245"/>
  <pageSetup scale="34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B8515-6E91-49A0-89E8-7993BAB3720F}">
  <sheetPr codeName="Sheet23">
    <tabColor indexed="44"/>
    <pageSetUpPr autoPageBreaks="0" fitToPage="1"/>
  </sheetPr>
  <dimension ref="B1:U33"/>
  <sheetViews>
    <sheetView showGridLines="0" zoomScale="55" zoomScaleNormal="55" zoomScaleSheetLayoutView="100" workbookViewId="0">
      <selection activeCell="Y27" sqref="Y27"/>
    </sheetView>
  </sheetViews>
  <sheetFormatPr defaultRowHeight="25.5" x14ac:dyDescent="0.35"/>
  <cols>
    <col min="3" max="3" width="4.85546875" customWidth="1"/>
    <col min="4" max="4" width="2.28515625" customWidth="1"/>
    <col min="5" max="5" width="9.5703125" style="321" customWidth="1"/>
    <col min="6" max="6" width="6.85546875" style="734" customWidth="1"/>
    <col min="7" max="7" width="62.85546875" style="355" customWidth="1"/>
    <col min="8" max="8" width="2.42578125" customWidth="1"/>
    <col min="9" max="9" width="5" style="2" customWidth="1"/>
    <col min="10" max="10" width="10.140625" style="1057" customWidth="1"/>
    <col min="11" max="11" width="20.85546875" style="2" hidden="1" customWidth="1"/>
    <col min="12" max="12" width="8.7109375" style="2" customWidth="1"/>
    <col min="13" max="13" width="8.42578125" style="2" customWidth="1"/>
    <col min="14" max="14" width="20.85546875" style="2" customWidth="1"/>
    <col min="15" max="15" width="2.140625" style="2" customWidth="1"/>
    <col min="16" max="16" width="1.28515625" style="2" hidden="1" customWidth="1"/>
    <col min="17" max="17" width="35.85546875" customWidth="1"/>
    <col min="21" max="21" width="9.140625" style="1403"/>
  </cols>
  <sheetData>
    <row r="1" spans="5:17" x14ac:dyDescent="0.35">
      <c r="G1" s="355" t="s">
        <v>457</v>
      </c>
      <c r="J1" s="1377"/>
      <c r="K1" s="1378"/>
      <c r="L1" s="1379"/>
      <c r="M1" s="1380"/>
    </row>
    <row r="2" spans="5:17" x14ac:dyDescent="0.35">
      <c r="H2" s="326"/>
      <c r="J2" s="1381" t="s">
        <v>458</v>
      </c>
      <c r="K2" s="1382"/>
      <c r="L2" s="1382" t="s">
        <v>459</v>
      </c>
      <c r="M2" s="1383" t="s">
        <v>460</v>
      </c>
    </row>
    <row r="3" spans="5:17" x14ac:dyDescent="0.35">
      <c r="H3" s="326"/>
    </row>
    <row r="4" spans="5:17" x14ac:dyDescent="0.35">
      <c r="F4" s="1131" t="s">
        <v>9</v>
      </c>
      <c r="G4" s="1384" t="s">
        <v>7</v>
      </c>
      <c r="H4" s="1132"/>
      <c r="I4" s="1385" t="s">
        <v>10</v>
      </c>
      <c r="J4" s="1376" t="s">
        <v>461</v>
      </c>
    </row>
    <row r="5" spans="5:17" ht="26.25" customHeight="1" x14ac:dyDescent="0.4">
      <c r="E5" s="1550" t="s">
        <v>462</v>
      </c>
      <c r="F5" s="1410">
        <v>4</v>
      </c>
      <c r="G5" s="1404" t="s">
        <v>463</v>
      </c>
      <c r="H5" s="1133"/>
      <c r="I5" s="1366">
        <v>2</v>
      </c>
      <c r="J5" s="1375">
        <f>COUNTIFS('Critical AMSE Min Max List'!D:D,"*" &amp; SUBSTITUTE("NITROGEN"," "," ") &amp; "*",
          'Critical AMSE Min Max List'!E:E,"Serviceable")</f>
        <v>2</v>
      </c>
      <c r="L5" s="1546" t="s">
        <v>464</v>
      </c>
      <c r="M5" s="1546"/>
      <c r="N5" s="1546"/>
      <c r="O5" s="1546"/>
      <c r="P5" s="1546"/>
      <c r="Q5" s="1546"/>
    </row>
    <row r="6" spans="5:17" ht="26.25" x14ac:dyDescent="0.4">
      <c r="E6" s="1551"/>
      <c r="F6" s="1411">
        <v>3</v>
      </c>
      <c r="G6" s="1406" t="s">
        <v>465</v>
      </c>
      <c r="H6" s="1133"/>
      <c r="I6" s="1367">
        <v>2</v>
      </c>
      <c r="J6" s="1370">
        <f>COUNTIFS('Critical AMSE Min Max List'!D:D,"*" &amp; SUBSTITUTE("AIR START"," "," ") &amp; "*",
          'Critical AMSE Min Max List'!E:E,"Serviceable")</f>
        <v>3</v>
      </c>
    </row>
    <row r="7" spans="5:17" ht="26.25" x14ac:dyDescent="0.4">
      <c r="E7" s="1551"/>
      <c r="F7" s="1411">
        <v>6</v>
      </c>
      <c r="G7" s="1406" t="s">
        <v>466</v>
      </c>
      <c r="H7" s="1133"/>
      <c r="I7" s="1367">
        <v>3</v>
      </c>
      <c r="J7" s="1370">
        <f>COUNTIFS('Critical AMSE Min Max List'!D:D,"*" &amp; SUBSTITUTE("TOW BAR"," "," ") &amp; "*",
          'Critical AMSE Min Max List'!E:E,"Serviceable")</f>
        <v>5</v>
      </c>
    </row>
    <row r="8" spans="5:17" ht="52.5" x14ac:dyDescent="0.4">
      <c r="E8" s="1551"/>
      <c r="F8" s="1411">
        <v>4</v>
      </c>
      <c r="G8" s="1406" t="s">
        <v>467</v>
      </c>
      <c r="H8" s="1133"/>
      <c r="I8" s="1367">
        <v>2</v>
      </c>
      <c r="J8" s="1370">
        <f>COUNTIFS('Critical AMSE Min Max List'!D:D,"*" &amp; SUBSTITUTE("NLG LANDING GEAR"," "," ") &amp; "*",
          'Critical AMSE Min Max List'!E:E,"Serviceable")</f>
        <v>4</v>
      </c>
    </row>
    <row r="9" spans="5:17" ht="26.25" x14ac:dyDescent="0.4">
      <c r="E9" s="1551"/>
      <c r="F9" s="1412">
        <v>5</v>
      </c>
      <c r="G9" s="1407" t="s">
        <v>468</v>
      </c>
      <c r="H9" s="1134"/>
      <c r="I9" s="1368">
        <v>3</v>
      </c>
      <c r="J9" s="1371">
        <f>COUNTIFS('Critical AMSE Min Max List'!D:D,"*" &amp; SUBSTITUTE("GROUND POWER UNIT"," "," ") &amp; "*",
          'Critical AMSE Min Max List'!E:E,"Serviceable")</f>
        <v>4</v>
      </c>
    </row>
    <row r="10" spans="5:17" ht="5.25" customHeight="1" x14ac:dyDescent="0.4">
      <c r="E10" s="1551"/>
      <c r="F10" s="1413"/>
      <c r="G10" s="1414"/>
      <c r="H10" s="1134"/>
      <c r="I10" s="1138"/>
      <c r="J10" s="1365"/>
    </row>
    <row r="11" spans="5:17" ht="26.25" x14ac:dyDescent="0.4">
      <c r="E11" s="1551"/>
      <c r="F11" s="1415">
        <v>13</v>
      </c>
      <c r="G11" s="1416" t="s">
        <v>469</v>
      </c>
      <c r="H11" s="1135"/>
      <c r="I11" s="1372">
        <v>7</v>
      </c>
      <c r="J11" s="1369">
        <f>COUNTIFS('Critical AMSE Min Max List'!D:D,"*" &amp; SUBSTITUTE("60 TON"," "," ") &amp; "*",
          'Critical AMSE Min Max List'!E:E,"Serviceable")</f>
        <v>8</v>
      </c>
    </row>
    <row r="12" spans="5:17" ht="26.25" x14ac:dyDescent="0.4">
      <c r="E12" s="1551"/>
      <c r="F12" s="1413">
        <v>1</v>
      </c>
      <c r="G12" s="1417" t="s">
        <v>470</v>
      </c>
      <c r="I12" s="1373">
        <v>1</v>
      </c>
      <c r="J12" s="1371">
        <f>COUNTIFS('Critical AMSE Min Max List'!D:D,"*" &amp; SUBSTITUTE("FLOODLIGHT"," "," ") &amp; "*",
          'Critical AMSE Min Max List'!E:E,"Serviceable")</f>
        <v>3</v>
      </c>
    </row>
    <row r="13" spans="5:17" ht="26.25" x14ac:dyDescent="0.4">
      <c r="E13" s="1551"/>
      <c r="F13" s="1418">
        <v>5</v>
      </c>
      <c r="G13" s="1419" t="s">
        <v>471</v>
      </c>
      <c r="H13" s="1133"/>
      <c r="I13" s="1374">
        <v>3</v>
      </c>
      <c r="J13" s="1371">
        <f>COUNTIFS('Critical AMSE Min Max List'!D:D,"*" &amp; SUBSTITUTE("FLOODLIGHT"," "," ") &amp; "*",
          'Critical AMSE Min Max List'!E:E,"Serviceable")</f>
        <v>3</v>
      </c>
    </row>
    <row r="14" spans="5:17" ht="5.25" customHeight="1" x14ac:dyDescent="0.4">
      <c r="E14" s="1551"/>
      <c r="F14" s="1420"/>
      <c r="G14" s="1414"/>
      <c r="H14" s="1133"/>
      <c r="I14" s="1139"/>
      <c r="J14" s="1365"/>
    </row>
    <row r="15" spans="5:17" ht="26.25" x14ac:dyDescent="0.4">
      <c r="E15" s="1551"/>
      <c r="F15" s="1415">
        <v>3</v>
      </c>
      <c r="G15" s="1421" t="s">
        <v>472</v>
      </c>
      <c r="H15" s="1133"/>
      <c r="I15" s="1366">
        <v>2</v>
      </c>
      <c r="J15" s="1369">
        <f>COUNTIFS('Critical AMSE Min Max List'!D:D,"*" &amp; SUBSTITUTE("HEATER"," "," ") &amp; "*",
          'Critical AMSE Min Max List'!E:E,"Serviceable")</f>
        <v>1</v>
      </c>
    </row>
    <row r="16" spans="5:17" ht="26.25" x14ac:dyDescent="0.4">
      <c r="E16" s="1552"/>
      <c r="F16" s="1422">
        <v>3</v>
      </c>
      <c r="G16" s="1419" t="s">
        <v>473</v>
      </c>
      <c r="H16" s="1133"/>
      <c r="I16" s="1368">
        <v>2</v>
      </c>
      <c r="J16" s="1371">
        <f>COUNTIFS('Critical AMSE Min Max List'!D:D,"*" &amp; SUBSTITUTE("GLESCO"," "," ") &amp; "*",
          'Critical AMSE Min Max List'!E:E,"Serviceable")</f>
        <v>0</v>
      </c>
      <c r="L16" s="1386" t="s">
        <v>474</v>
      </c>
    </row>
    <row r="17" spans="2:21" ht="26.25" x14ac:dyDescent="0.4">
      <c r="E17" s="1392"/>
      <c r="G17" s="1137"/>
      <c r="H17" s="1133"/>
      <c r="I17" s="1138"/>
      <c r="J17" s="1386"/>
      <c r="K17" s="1386"/>
      <c r="L17" s="1386"/>
    </row>
    <row r="18" spans="2:21" ht="9" customHeight="1" x14ac:dyDescent="0.35">
      <c r="B18" s="872"/>
      <c r="C18" s="872"/>
      <c r="D18" s="872"/>
      <c r="E18" s="1388"/>
      <c r="F18" s="1389"/>
      <c r="G18" s="1390"/>
      <c r="H18" s="872"/>
      <c r="I18" s="888"/>
      <c r="J18" s="1391"/>
      <c r="K18" s="888"/>
      <c r="L18" s="888"/>
      <c r="M18" s="888"/>
      <c r="N18" s="888"/>
      <c r="O18" s="888"/>
      <c r="P18" s="888"/>
      <c r="Q18" s="872"/>
    </row>
    <row r="19" spans="2:21" ht="9" customHeight="1" x14ac:dyDescent="0.35"/>
    <row r="20" spans="2:21" x14ac:dyDescent="0.35">
      <c r="G20" s="355" t="s">
        <v>475</v>
      </c>
      <c r="J20" s="1393"/>
      <c r="K20" s="965"/>
      <c r="L20" s="1354"/>
      <c r="M20" s="1394"/>
    </row>
    <row r="21" spans="2:21" x14ac:dyDescent="0.35">
      <c r="H21" s="326"/>
      <c r="J21" s="1395" t="s">
        <v>458</v>
      </c>
      <c r="K21" s="965"/>
      <c r="L21" s="965" t="s">
        <v>459</v>
      </c>
      <c r="M21" s="965" t="s">
        <v>460</v>
      </c>
    </row>
    <row r="22" spans="2:21" ht="26.25" customHeight="1" x14ac:dyDescent="0.35">
      <c r="H22" s="326"/>
    </row>
    <row r="23" spans="2:21" x14ac:dyDescent="0.35">
      <c r="F23" s="1131" t="s">
        <v>9</v>
      </c>
      <c r="G23" s="1384" t="s">
        <v>7</v>
      </c>
      <c r="H23" s="1132"/>
      <c r="I23" s="1385" t="s">
        <v>10</v>
      </c>
      <c r="J23" s="1425" t="s">
        <v>461</v>
      </c>
    </row>
    <row r="24" spans="2:21" ht="26.25" customHeight="1" x14ac:dyDescent="0.4">
      <c r="E24" s="1547" t="s">
        <v>462</v>
      </c>
      <c r="F24" s="1423"/>
      <c r="G24" s="1430" t="s">
        <v>476</v>
      </c>
      <c r="H24" s="1133"/>
      <c r="I24" s="1427">
        <v>1</v>
      </c>
      <c r="J24" s="1438">
        <f>COUNTIFS('Vehicle List'!E:E,"*Lox*",'Vehicle List'!I:I,"S")</f>
        <v>2</v>
      </c>
      <c r="L24" s="1546"/>
      <c r="M24" s="1546"/>
      <c r="N24" s="1546"/>
      <c r="O24" s="1546"/>
      <c r="P24" s="1546"/>
      <c r="Q24" s="1546"/>
    </row>
    <row r="25" spans="2:21" ht="26.25" x14ac:dyDescent="0.4">
      <c r="E25" s="1548"/>
      <c r="F25" s="1424"/>
      <c r="G25" s="1431" t="s">
        <v>477</v>
      </c>
      <c r="H25" s="1133"/>
      <c r="I25" s="1427">
        <v>1</v>
      </c>
      <c r="J25" s="1438">
        <f>COUNTIFS('Vehicle List'!E:E,"*(H)*",'Vehicle List'!I:I,"S")</f>
        <v>2</v>
      </c>
      <c r="M25" s="1545" t="s">
        <v>478</v>
      </c>
      <c r="N25" s="1545"/>
      <c r="O25" s="1545"/>
      <c r="P25" s="1545"/>
      <c r="Q25" s="1545"/>
      <c r="U25" s="1402" t="s">
        <v>479</v>
      </c>
    </row>
    <row r="26" spans="2:21" ht="26.25" x14ac:dyDescent="0.4">
      <c r="E26" s="1548"/>
      <c r="F26" s="1424"/>
      <c r="G26" s="1432" t="s">
        <v>2885</v>
      </c>
      <c r="H26" s="1133"/>
      <c r="I26" s="1427">
        <v>6</v>
      </c>
      <c r="J26" s="1438">
        <f>COUNTIFS('Vehicle List'!E:E,"*P/UP*",'Vehicle List'!I:I,"S")</f>
        <v>8</v>
      </c>
      <c r="U26" s="1403" t="s">
        <v>480</v>
      </c>
    </row>
    <row r="27" spans="2:21" ht="26.25" x14ac:dyDescent="0.4">
      <c r="E27" s="1548"/>
      <c r="F27" s="1424"/>
      <c r="G27" s="1431" t="s">
        <v>481</v>
      </c>
      <c r="I27" s="1426">
        <v>1</v>
      </c>
      <c r="J27" s="1437">
        <f>COUNTIFS('Vehicle List'!E:E,"*MULE*",'Vehicle List'!I:I,"S")</f>
        <v>1</v>
      </c>
      <c r="U27" s="1403" t="s">
        <v>482</v>
      </c>
    </row>
    <row r="28" spans="2:21" ht="26.25" customHeight="1" x14ac:dyDescent="0.4">
      <c r="E28" s="1548"/>
      <c r="F28" s="1424"/>
      <c r="G28" s="1431" t="s">
        <v>483</v>
      </c>
      <c r="H28" s="1133"/>
      <c r="I28" s="1427">
        <v>2</v>
      </c>
      <c r="J28" s="1439">
        <f>COUNTIFS('Vehicle List'!E:E,"*CHERRY PICKER*",'Vehicle List'!I:I,"S")+COUNTIFS('Vehicle List'!E:E,"*JLG*",'Vehicle List'!I:I,"S")</f>
        <v>3</v>
      </c>
    </row>
    <row r="29" spans="2:21" ht="26.25" x14ac:dyDescent="0.4">
      <c r="E29" s="1548"/>
      <c r="F29" s="1424"/>
      <c r="G29" s="1433" t="s">
        <v>484</v>
      </c>
      <c r="H29" s="1134"/>
      <c r="I29" s="1427">
        <v>2</v>
      </c>
      <c r="J29" s="1438">
        <f>COUNTIFS('Vehicle List'!E:E,"*LARGE SCISSOR LIFT*",'Vehicle List'!I:I,"S")</f>
        <v>3</v>
      </c>
    </row>
    <row r="30" spans="2:21" ht="26.25" x14ac:dyDescent="0.4">
      <c r="E30" s="1548"/>
      <c r="F30" s="1405"/>
      <c r="G30" s="1434" t="s">
        <v>485</v>
      </c>
      <c r="H30" s="1135"/>
      <c r="I30" s="1428">
        <v>2</v>
      </c>
      <c r="J30" s="1438">
        <f>COUNTIFS('Vehicle List'!E:E,"*SMALL SCISSOR LIFT*",'Vehicle List'!I:I,"S")</f>
        <v>3</v>
      </c>
    </row>
    <row r="31" spans="2:21" ht="26.25" x14ac:dyDescent="0.4">
      <c r="E31" s="1548"/>
      <c r="F31" s="1408"/>
      <c r="G31" s="1435" t="s">
        <v>486</v>
      </c>
      <c r="H31" s="1133"/>
      <c r="I31" s="1429">
        <v>1</v>
      </c>
      <c r="J31" s="1437">
        <f>COUNTIFS('Vehicle List'!E:E,"*Yellow Wagon*",'Vehicle List'!I:I,"S")</f>
        <v>1</v>
      </c>
    </row>
    <row r="32" spans="2:21" ht="26.25" x14ac:dyDescent="0.4">
      <c r="E32" s="1548"/>
      <c r="F32" s="1405"/>
      <c r="G32" s="1436" t="s">
        <v>487</v>
      </c>
      <c r="H32" s="1133"/>
      <c r="I32" s="1427">
        <v>1</v>
      </c>
      <c r="J32" s="1438">
        <f>COUNTIFS('Vehicle List'!E:E,"*F/L*",'Vehicle List'!I:I,"S")</f>
        <v>2</v>
      </c>
    </row>
    <row r="33" spans="5:12" ht="26.25" x14ac:dyDescent="0.4">
      <c r="E33" s="1549"/>
      <c r="F33" s="1409"/>
      <c r="G33" s="1435" t="s">
        <v>488</v>
      </c>
      <c r="H33" s="1133"/>
      <c r="I33" s="1427">
        <v>2</v>
      </c>
      <c r="J33" s="1438">
        <v>2</v>
      </c>
      <c r="L33" s="1386"/>
    </row>
  </sheetData>
  <sheetProtection formatCells="0" formatColumns="0" formatRows="0" insertColumns="0" insertRows="0" insertHyperlinks="0" deleteColumns="0" deleteRows="0" sort="0" autoFilter="0" pivotTables="0"/>
  <mergeCells count="5">
    <mergeCell ref="M25:Q25"/>
    <mergeCell ref="L24:Q24"/>
    <mergeCell ref="E24:E33"/>
    <mergeCell ref="E5:E16"/>
    <mergeCell ref="L5:Q5"/>
  </mergeCells>
  <conditionalFormatting sqref="J5">
    <cfRule type="cellIs" dxfId="231" priority="90" operator="greaterThan">
      <formula>$I$5+1</formula>
    </cfRule>
    <cfRule type="cellIs" dxfId="230" priority="91" operator="equal">
      <formula>$I$5</formula>
    </cfRule>
    <cfRule type="cellIs" dxfId="229" priority="92" operator="lessThan">
      <formula>$I$5</formula>
    </cfRule>
  </conditionalFormatting>
  <conditionalFormatting sqref="J6">
    <cfRule type="cellIs" dxfId="228" priority="85" operator="equal">
      <formula>$I$6</formula>
    </cfRule>
    <cfRule type="cellIs" dxfId="227" priority="86" operator="greaterThanOrEqual">
      <formula>$I$6+1</formula>
    </cfRule>
    <cfRule type="cellIs" dxfId="226" priority="89" operator="lessThan">
      <formula>$I$6</formula>
    </cfRule>
  </conditionalFormatting>
  <conditionalFormatting sqref="J7">
    <cfRule type="cellIs" dxfId="225" priority="82" operator="greaterThanOrEqual">
      <formula>$I$7</formula>
    </cfRule>
    <cfRule type="cellIs" dxfId="224" priority="83" operator="lessThan">
      <formula>$I$7</formula>
    </cfRule>
    <cfRule type="cellIs" dxfId="223" priority="84" operator="equal">
      <formula>$I$7</formula>
    </cfRule>
  </conditionalFormatting>
  <conditionalFormatting sqref="J8">
    <cfRule type="cellIs" dxfId="222" priority="79" operator="equal">
      <formula>$I$8</formula>
    </cfRule>
    <cfRule type="cellIs" dxfId="221" priority="80" operator="lessThan">
      <formula>$I$8</formula>
    </cfRule>
    <cfRule type="cellIs" dxfId="220" priority="81" operator="greaterThanOrEqual">
      <formula>$I$8+1</formula>
    </cfRule>
  </conditionalFormatting>
  <conditionalFormatting sqref="J9">
    <cfRule type="cellIs" dxfId="219" priority="76" operator="greaterThanOrEqual">
      <formula>$I$9+1</formula>
    </cfRule>
    <cfRule type="cellIs" dxfId="218" priority="77" operator="lessThan">
      <formula>$I$9</formula>
    </cfRule>
    <cfRule type="cellIs" dxfId="217" priority="78" operator="equal">
      <formula>$I$9</formula>
    </cfRule>
  </conditionalFormatting>
  <conditionalFormatting sqref="J11">
    <cfRule type="cellIs" dxfId="216" priority="73" operator="lessThan">
      <formula>$I$11</formula>
    </cfRule>
    <cfRule type="cellIs" dxfId="215" priority="74" operator="equal">
      <formula>$I$11</formula>
    </cfRule>
    <cfRule type="cellIs" dxfId="214" priority="75" operator="greaterThanOrEqual">
      <formula>$I$11+1</formula>
    </cfRule>
  </conditionalFormatting>
  <conditionalFormatting sqref="J12">
    <cfRule type="cellIs" dxfId="213" priority="70" operator="equal">
      <formula>$I$12</formula>
    </cfRule>
    <cfRule type="cellIs" dxfId="212" priority="71" operator="greaterThanOrEqual">
      <formula>$I$12+1</formula>
    </cfRule>
    <cfRule type="cellIs" dxfId="211" priority="72" operator="lessThan">
      <formula>$I$12</formula>
    </cfRule>
  </conditionalFormatting>
  <conditionalFormatting sqref="J13">
    <cfRule type="cellIs" dxfId="210" priority="67" operator="greaterThanOrEqual">
      <formula>$I$13+1</formula>
    </cfRule>
    <cfRule type="cellIs" dxfId="209" priority="68" operator="lessThan">
      <formula>$I$13</formula>
    </cfRule>
    <cfRule type="cellIs" dxfId="208" priority="69" operator="equal">
      <formula>$I$13</formula>
    </cfRule>
  </conditionalFormatting>
  <conditionalFormatting sqref="J15">
    <cfRule type="cellIs" dxfId="207" priority="64" operator="greaterThanOrEqual">
      <formula>$I$15+1</formula>
    </cfRule>
    <cfRule type="cellIs" dxfId="206" priority="65" operator="greaterThanOrEqual">
      <formula>$I$15</formula>
    </cfRule>
    <cfRule type="cellIs" dxfId="205" priority="66" operator="lessThan">
      <formula>$I$15</formula>
    </cfRule>
  </conditionalFormatting>
  <conditionalFormatting sqref="J16">
    <cfRule type="cellIs" dxfId="204" priority="61" operator="lessThan">
      <formula>$I$16</formula>
    </cfRule>
    <cfRule type="cellIs" dxfId="203" priority="62" operator="equal">
      <formula>$I$16</formula>
    </cfRule>
    <cfRule type="cellIs" dxfId="202" priority="63" operator="greaterThanOrEqual">
      <formula>$I$16+1</formula>
    </cfRule>
  </conditionalFormatting>
  <printOptions horizontalCentered="1"/>
  <pageMargins left="3.937007874015748E-2" right="3.937007874015748E-2" top="0.15748031496062992" bottom="0.15748031496062992" header="0.11811023622047245" footer="0.11811023622047245"/>
  <pageSetup scale="34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17DC0-BDD7-4AAD-A801-A11846642C4C}">
  <sheetPr codeName="Sheet3">
    <tabColor indexed="44"/>
  </sheetPr>
  <dimension ref="A1:D10"/>
  <sheetViews>
    <sheetView showGridLines="0" workbookViewId="0">
      <selection activeCell="C2" sqref="C2"/>
    </sheetView>
  </sheetViews>
  <sheetFormatPr defaultRowHeight="12.75" x14ac:dyDescent="0.2"/>
  <cols>
    <col min="2" max="2" width="25.140625" customWidth="1"/>
    <col min="3" max="3" width="36.28515625" customWidth="1"/>
  </cols>
  <sheetData>
    <row r="1" spans="1:4" ht="13.5" thickBot="1" x14ac:dyDescent="0.25">
      <c r="A1" s="1"/>
      <c r="B1" s="3"/>
      <c r="C1" s="6"/>
    </row>
    <row r="2" spans="1:4" x14ac:dyDescent="0.2">
      <c r="A2" s="1"/>
      <c r="B2" s="45" t="s">
        <v>489</v>
      </c>
      <c r="C2" s="7" t="e">
        <f>SUM(#REF!)</f>
        <v>#REF!</v>
      </c>
      <c r="D2" s="167"/>
    </row>
    <row r="3" spans="1:4" hidden="1" x14ac:dyDescent="0.2">
      <c r="A3" s="1"/>
      <c r="B3" s="8" t="s">
        <v>490</v>
      </c>
      <c r="C3" s="9" t="e">
        <f>SUM(#REF!)</f>
        <v>#REF!</v>
      </c>
    </row>
    <row r="4" spans="1:4" x14ac:dyDescent="0.2">
      <c r="A4" s="1"/>
      <c r="B4" s="10"/>
      <c r="C4" s="11"/>
    </row>
    <row r="5" spans="1:4" x14ac:dyDescent="0.2">
      <c r="A5" s="1"/>
      <c r="B5" s="48" t="s">
        <v>491</v>
      </c>
      <c r="C5" s="12" t="e">
        <f>COUNTIF(#REF!,"S")</f>
        <v>#REF!</v>
      </c>
    </row>
    <row r="6" spans="1:4" x14ac:dyDescent="0.2">
      <c r="A6" s="1"/>
      <c r="B6" s="48" t="s">
        <v>492</v>
      </c>
      <c r="C6" s="9" t="e">
        <f>COUNTIF(#REF!,"U/S")+COUNTIF(#REF!,"DEPLOYED")+COUNTIF(#REF!,"PAST INSP DUE")</f>
        <v>#REF!</v>
      </c>
    </row>
    <row r="7" spans="1:4" ht="13.5" thickBot="1" x14ac:dyDescent="0.25">
      <c r="A7" s="1"/>
      <c r="B7" s="13"/>
      <c r="C7" s="14"/>
    </row>
    <row r="8" spans="1:4" x14ac:dyDescent="0.2">
      <c r="A8" s="1"/>
      <c r="B8" s="142" t="s">
        <v>493</v>
      </c>
      <c r="C8" s="100" t="e">
        <f>AVERAGE(#REF!)</f>
        <v>#REF!</v>
      </c>
    </row>
    <row r="9" spans="1:4" ht="13.5" thickBot="1" x14ac:dyDescent="0.25">
      <c r="A9" s="1"/>
      <c r="B9" s="143" t="s">
        <v>494</v>
      </c>
      <c r="C9" s="101" t="e">
        <f>AVERAGE(#REF!)</f>
        <v>#REF!</v>
      </c>
    </row>
    <row r="10" spans="1:4" x14ac:dyDescent="0.2">
      <c r="A10" s="1"/>
      <c r="B10" s="3"/>
      <c r="C10" s="6"/>
    </row>
  </sheetData>
  <phoneticPr fontId="5" type="noConversion"/>
  <conditionalFormatting sqref="C9">
    <cfRule type="cellIs" dxfId="201" priority="1" stopIfTrue="1" operator="lessThan">
      <formula>0.8</formula>
    </cfRule>
    <cfRule type="cellIs" dxfId="200" priority="2" stopIfTrue="1" operator="between">
      <formula>0.8</formula>
      <formula>0.9</formula>
    </cfRule>
    <cfRule type="cellIs" dxfId="199" priority="3" stopIfTrue="1" operator="greaterThan">
      <formula>0.9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65451-736F-40D4-AA58-F63E998B8382}">
  <sheetPr codeName="Sheet13">
    <tabColor indexed="44"/>
    <pageSetUpPr fitToPage="1"/>
  </sheetPr>
  <dimension ref="A1:U127"/>
  <sheetViews>
    <sheetView zoomScaleNormal="100" workbookViewId="0">
      <pane ySplit="1" topLeftCell="A67" activePane="bottomLeft" state="frozen"/>
      <selection activeCell="B1" sqref="B1"/>
      <selection pane="bottomLeft" activeCell="K65" sqref="K60:P67"/>
    </sheetView>
  </sheetViews>
  <sheetFormatPr defaultRowHeight="15" x14ac:dyDescent="0.25"/>
  <cols>
    <col min="1" max="1" width="13.28515625" style="661" customWidth="1"/>
    <col min="2" max="2" width="0.140625" customWidth="1"/>
    <col min="3" max="3" width="9.140625" hidden="1" customWidth="1"/>
    <col min="4" max="4" width="0.140625" customWidth="1"/>
    <col min="5" max="5" width="18.28515625" style="2" bestFit="1" customWidth="1"/>
    <col min="6" max="6" width="22.85546875" style="2" customWidth="1"/>
    <col min="7" max="7" width="25.7109375" bestFit="1" customWidth="1"/>
    <col min="8" max="8" width="25.5703125" bestFit="1" customWidth="1"/>
    <col min="9" max="9" width="17.140625" bestFit="1" customWidth="1"/>
    <col min="10" max="10" width="16.28515625" hidden="1" customWidth="1"/>
    <col min="11" max="11" width="17.85546875" style="1" bestFit="1" customWidth="1"/>
    <col min="12" max="12" width="13.140625" hidden="1" customWidth="1"/>
    <col min="13" max="13" width="16.28515625" hidden="1" customWidth="1"/>
    <col min="14" max="14" width="11.5703125" hidden="1" customWidth="1"/>
    <col min="15" max="15" width="13.28515625" bestFit="1" customWidth="1"/>
    <col min="16" max="16" width="47.42578125" customWidth="1"/>
    <col min="17" max="17" width="3.140625" hidden="1" customWidth="1"/>
    <col min="18" max="18" width="19.85546875" hidden="1" customWidth="1"/>
    <col min="19" max="19" width="18" hidden="1" customWidth="1"/>
    <col min="20" max="20" width="12.140625" style="30" bestFit="1" customWidth="1"/>
    <col min="21" max="21" width="21.42578125" customWidth="1"/>
  </cols>
  <sheetData>
    <row r="1" spans="1:21" x14ac:dyDescent="0.25">
      <c r="A1" s="665" t="s">
        <v>495</v>
      </c>
      <c r="B1" s="377" t="s">
        <v>496</v>
      </c>
      <c r="C1" s="377" t="s">
        <v>497</v>
      </c>
      <c r="D1" s="2" t="s">
        <v>498</v>
      </c>
      <c r="E1" s="2" t="s">
        <v>499</v>
      </c>
      <c r="F1" s="2" t="s">
        <v>500</v>
      </c>
      <c r="G1" s="1" t="s">
        <v>501</v>
      </c>
      <c r="H1" s="1" t="s">
        <v>502</v>
      </c>
      <c r="I1" s="666" t="s">
        <v>503</v>
      </c>
      <c r="J1" s="1" t="s">
        <v>504</v>
      </c>
      <c r="K1" s="611" t="s">
        <v>505</v>
      </c>
      <c r="L1" s="611" t="s">
        <v>506</v>
      </c>
      <c r="M1" s="1" t="s">
        <v>507</v>
      </c>
      <c r="N1" s="667" t="s">
        <v>508</v>
      </c>
      <c r="O1" s="667" t="s">
        <v>509</v>
      </c>
      <c r="P1" s="1" t="s">
        <v>510</v>
      </c>
      <c r="Q1" s="1" t="s">
        <v>511</v>
      </c>
      <c r="R1" s="1" t="s">
        <v>512</v>
      </c>
      <c r="S1" s="1" t="s">
        <v>513</v>
      </c>
      <c r="T1" s="204" t="s">
        <v>514</v>
      </c>
    </row>
    <row r="2" spans="1:21" x14ac:dyDescent="0.25">
      <c r="A2" s="641" t="s">
        <v>515</v>
      </c>
      <c r="B2" s="401"/>
      <c r="C2" s="401"/>
      <c r="D2" s="315"/>
      <c r="E2" s="315"/>
      <c r="F2" s="261" t="s">
        <v>516</v>
      </c>
      <c r="G2" s="402"/>
      <c r="H2" s="525" t="s">
        <v>517</v>
      </c>
      <c r="I2" s="587" t="s">
        <v>518</v>
      </c>
      <c r="J2" s="402"/>
      <c r="K2" s="612">
        <v>21133520</v>
      </c>
      <c r="L2" s="403"/>
      <c r="M2" s="213"/>
      <c r="N2" s="404"/>
      <c r="O2" s="404">
        <v>46309</v>
      </c>
      <c r="P2" s="213"/>
      <c r="Q2" s="213" t="str">
        <f>IF('Calibrated Items'!$B2="","No","Yes")</f>
        <v>No</v>
      </c>
      <c r="R2" s="213" t="str">
        <f>IF('Calibrated Items'!$C2="","No","Yes")</f>
        <v>No</v>
      </c>
      <c r="S2" s="594"/>
      <c r="T2" s="405">
        <v>45540</v>
      </c>
    </row>
    <row r="3" spans="1:21" x14ac:dyDescent="0.25">
      <c r="A3" s="641" t="s">
        <v>515</v>
      </c>
      <c r="B3" s="401"/>
      <c r="C3" s="401"/>
      <c r="D3" s="315"/>
      <c r="E3" s="315"/>
      <c r="F3" s="261" t="s">
        <v>516</v>
      </c>
      <c r="G3" s="402"/>
      <c r="H3" s="402">
        <v>1082</v>
      </c>
      <c r="I3" s="587" t="s">
        <v>519</v>
      </c>
      <c r="J3" s="402"/>
      <c r="K3" s="612">
        <v>21152814</v>
      </c>
      <c r="L3" s="403"/>
      <c r="M3" s="213"/>
      <c r="N3" s="404"/>
      <c r="O3" s="404">
        <v>46309</v>
      </c>
      <c r="P3" s="213"/>
      <c r="Q3" s="213" t="str">
        <f>IF('Calibrated Items'!$B3="","No","Yes")</f>
        <v>No</v>
      </c>
      <c r="R3" s="213" t="str">
        <f>IF('Calibrated Items'!$C3="","No","Yes")</f>
        <v>No</v>
      </c>
      <c r="S3" s="594"/>
      <c r="T3" s="405">
        <v>45540</v>
      </c>
    </row>
    <row r="4" spans="1:21" x14ac:dyDescent="0.25">
      <c r="A4" s="641" t="s">
        <v>515</v>
      </c>
      <c r="B4" s="401"/>
      <c r="C4" s="401"/>
      <c r="D4" s="315"/>
      <c r="E4" s="315"/>
      <c r="F4" s="261" t="s">
        <v>516</v>
      </c>
      <c r="G4" s="402"/>
      <c r="H4" s="402">
        <v>1082</v>
      </c>
      <c r="I4" s="587" t="s">
        <v>519</v>
      </c>
      <c r="J4" s="402"/>
      <c r="K4" s="612">
        <v>21152815</v>
      </c>
      <c r="L4" s="403"/>
      <c r="M4" s="406"/>
      <c r="N4" s="404"/>
      <c r="O4" s="404">
        <v>46309</v>
      </c>
      <c r="P4" s="213"/>
      <c r="Q4" s="213" t="str">
        <f>IF('Calibrated Items'!$B4="","No","Yes")</f>
        <v>No</v>
      </c>
      <c r="R4" s="213" t="str">
        <f>IF('Calibrated Items'!$C4="","No","Yes")</f>
        <v>No</v>
      </c>
      <c r="S4" s="594"/>
      <c r="T4" s="405">
        <v>45540</v>
      </c>
    </row>
    <row r="5" spans="1:21" x14ac:dyDescent="0.25">
      <c r="A5" s="641" t="s">
        <v>515</v>
      </c>
      <c r="B5" s="401"/>
      <c r="C5" s="401"/>
      <c r="D5" s="315"/>
      <c r="E5" s="315"/>
      <c r="F5" s="261" t="s">
        <v>516</v>
      </c>
      <c r="G5" s="402"/>
      <c r="H5" s="525" t="s">
        <v>53</v>
      </c>
      <c r="I5" s="587" t="s">
        <v>520</v>
      </c>
      <c r="J5" s="402"/>
      <c r="K5" s="613">
        <v>21133521</v>
      </c>
      <c r="L5" s="403"/>
      <c r="M5" s="213"/>
      <c r="N5" s="404"/>
      <c r="O5" s="404">
        <v>46310</v>
      </c>
      <c r="P5" s="213"/>
      <c r="Q5" s="213" t="str">
        <f>IF('Calibrated Items'!$B5="","No","Yes")</f>
        <v>No</v>
      </c>
      <c r="R5" s="213" t="str">
        <f>IF('Calibrated Items'!$C5="","No","Yes")</f>
        <v>No</v>
      </c>
      <c r="S5" s="594"/>
      <c r="T5" s="405">
        <v>45540</v>
      </c>
    </row>
    <row r="6" spans="1:21" x14ac:dyDescent="0.25">
      <c r="A6" s="653"/>
      <c r="B6" s="638"/>
      <c r="C6" s="638"/>
      <c r="D6" s="638"/>
      <c r="E6" s="639"/>
      <c r="F6" s="639"/>
      <c r="G6" s="638"/>
      <c r="H6" s="638"/>
      <c r="I6" s="638"/>
      <c r="J6" s="638"/>
      <c r="K6" s="640"/>
      <c r="L6" s="638"/>
      <c r="M6" s="638"/>
      <c r="N6" s="638"/>
      <c r="O6" s="638"/>
      <c r="P6" s="638"/>
      <c r="Q6" s="638"/>
      <c r="R6" s="638"/>
      <c r="S6" s="638"/>
      <c r="T6" s="637"/>
    </row>
    <row r="7" spans="1:21" x14ac:dyDescent="0.25">
      <c r="A7" s="641" t="s">
        <v>439</v>
      </c>
      <c r="B7" s="401"/>
      <c r="C7" s="401"/>
      <c r="D7" s="315"/>
      <c r="E7" s="315" t="s">
        <v>521</v>
      </c>
      <c r="F7" s="261" t="s">
        <v>522</v>
      </c>
      <c r="G7" s="402"/>
      <c r="H7" s="525" t="s">
        <v>523</v>
      </c>
      <c r="I7" s="587" t="s">
        <v>524</v>
      </c>
      <c r="J7" s="402"/>
      <c r="K7" s="612">
        <v>21173554</v>
      </c>
      <c r="L7" s="403"/>
      <c r="M7" s="213"/>
      <c r="N7" s="404"/>
      <c r="O7" s="404">
        <v>46290</v>
      </c>
      <c r="P7" s="213"/>
      <c r="Q7" s="213" t="str">
        <f>IF('Calibrated Items'!$B7="","No","Yes")</f>
        <v>No</v>
      </c>
      <c r="R7" s="213" t="str">
        <f>IF('Calibrated Items'!$C7="","No","Yes")</f>
        <v>No</v>
      </c>
      <c r="S7" s="594"/>
      <c r="T7" s="405">
        <v>45848</v>
      </c>
    </row>
    <row r="8" spans="1:21" x14ac:dyDescent="0.25">
      <c r="A8" s="641" t="s">
        <v>439</v>
      </c>
      <c r="B8" s="401"/>
      <c r="C8" s="401"/>
      <c r="D8" s="315"/>
      <c r="E8" s="315" t="s">
        <v>521</v>
      </c>
      <c r="F8" s="261" t="s">
        <v>522</v>
      </c>
      <c r="G8" s="402"/>
      <c r="H8" s="525" t="s">
        <v>523</v>
      </c>
      <c r="I8" s="587" t="s">
        <v>524</v>
      </c>
      <c r="J8" s="402"/>
      <c r="K8" s="612">
        <v>21148547</v>
      </c>
      <c r="L8" s="403"/>
      <c r="M8" s="213"/>
      <c r="N8" s="404"/>
      <c r="O8" s="404">
        <v>46262</v>
      </c>
      <c r="P8" s="213"/>
      <c r="Q8" s="213" t="str">
        <f>IF('Calibrated Items'!$B8="","No","Yes")</f>
        <v>No</v>
      </c>
      <c r="R8" s="213" t="str">
        <f>IF('Calibrated Items'!$C8="","No","Yes")</f>
        <v>No</v>
      </c>
      <c r="S8" s="594"/>
      <c r="T8" s="405">
        <v>45848</v>
      </c>
    </row>
    <row r="9" spans="1:21" x14ac:dyDescent="0.25">
      <c r="A9" s="641" t="s">
        <v>439</v>
      </c>
      <c r="B9" s="401"/>
      <c r="C9" s="401"/>
      <c r="D9" s="315"/>
      <c r="E9" s="261" t="s">
        <v>525</v>
      </c>
      <c r="F9" s="261" t="s">
        <v>522</v>
      </c>
      <c r="G9" s="402"/>
      <c r="H9" s="525" t="s">
        <v>526</v>
      </c>
      <c r="I9" s="587" t="s">
        <v>527</v>
      </c>
      <c r="J9" s="402"/>
      <c r="K9" s="612">
        <v>21148548</v>
      </c>
      <c r="L9" s="403"/>
      <c r="M9" s="213"/>
      <c r="N9" s="404"/>
      <c r="O9" s="404">
        <v>46262</v>
      </c>
      <c r="P9" s="213"/>
      <c r="Q9" s="213" t="str">
        <f>IF('Calibrated Items'!$B9="","No","Yes")</f>
        <v>No</v>
      </c>
      <c r="R9" s="213" t="str">
        <f>IF('Calibrated Items'!$C9="","No","Yes")</f>
        <v>No</v>
      </c>
      <c r="S9" s="594"/>
      <c r="T9" s="405">
        <v>45848</v>
      </c>
    </row>
    <row r="10" spans="1:21" x14ac:dyDescent="0.25">
      <c r="A10" s="641" t="s">
        <v>439</v>
      </c>
      <c r="B10" s="401"/>
      <c r="C10" s="401"/>
      <c r="D10" s="315"/>
      <c r="E10" s="261" t="s">
        <v>525</v>
      </c>
      <c r="F10" s="261" t="s">
        <v>522</v>
      </c>
      <c r="G10" s="402"/>
      <c r="H10" s="525" t="s">
        <v>526</v>
      </c>
      <c r="I10" s="587" t="s">
        <v>527</v>
      </c>
      <c r="J10" s="402"/>
      <c r="K10" s="612">
        <v>21148549</v>
      </c>
      <c r="L10" s="403"/>
      <c r="M10" s="213"/>
      <c r="N10" s="404"/>
      <c r="O10" s="404">
        <v>46261</v>
      </c>
      <c r="P10" s="213"/>
      <c r="Q10" s="213" t="str">
        <f>IF('Calibrated Items'!$B10="","No","Yes")</f>
        <v>No</v>
      </c>
      <c r="R10" s="213" t="str">
        <f>IF('Calibrated Items'!$C10="","No","Yes")</f>
        <v>No</v>
      </c>
      <c r="S10" s="594"/>
      <c r="T10" s="405">
        <v>45848</v>
      </c>
    </row>
    <row r="11" spans="1:21" x14ac:dyDescent="0.25">
      <c r="A11" s="653"/>
      <c r="B11" s="638"/>
      <c r="C11" s="638"/>
      <c r="D11" s="638"/>
      <c r="E11" s="639"/>
      <c r="F11" s="639"/>
      <c r="G11" s="638"/>
      <c r="H11" s="638"/>
      <c r="I11" s="638"/>
      <c r="J11" s="638"/>
      <c r="K11" s="640"/>
      <c r="L11" s="638"/>
      <c r="M11" s="638"/>
      <c r="N11" s="638"/>
      <c r="O11" s="638"/>
      <c r="P11" s="638"/>
      <c r="Q11" s="638"/>
      <c r="R11" s="638"/>
      <c r="S11" s="638"/>
      <c r="T11" s="637"/>
    </row>
    <row r="12" spans="1:21" x14ac:dyDescent="0.25">
      <c r="A12" s="642" t="s">
        <v>370</v>
      </c>
      <c r="B12" s="378"/>
      <c r="C12" s="378"/>
      <c r="D12" s="29"/>
      <c r="E12" s="29" t="s">
        <v>528</v>
      </c>
      <c r="F12" s="243" t="s">
        <v>529</v>
      </c>
      <c r="G12" s="573" t="s">
        <v>530</v>
      </c>
      <c r="H12" s="731" t="s">
        <v>531</v>
      </c>
      <c r="I12" s="548" t="s">
        <v>532</v>
      </c>
      <c r="J12" s="376"/>
      <c r="K12" s="614">
        <v>21102340</v>
      </c>
      <c r="L12" s="380"/>
      <c r="M12" s="30"/>
      <c r="N12" s="381"/>
      <c r="O12" s="381">
        <v>46244</v>
      </c>
      <c r="P12" s="536"/>
      <c r="Q12" s="30"/>
      <c r="R12" s="30"/>
      <c r="S12" s="103"/>
      <c r="T12" s="433">
        <v>45455</v>
      </c>
    </row>
    <row r="13" spans="1:21" x14ac:dyDescent="0.25">
      <c r="A13" s="642" t="s">
        <v>359</v>
      </c>
      <c r="B13" s="378"/>
      <c r="C13" s="378"/>
      <c r="D13" s="29"/>
      <c r="E13" s="29" t="s">
        <v>528</v>
      </c>
      <c r="F13" s="243" t="s">
        <v>529</v>
      </c>
      <c r="G13" s="573" t="s">
        <v>530</v>
      </c>
      <c r="H13" s="407" t="s">
        <v>531</v>
      </c>
      <c r="I13" s="548" t="s">
        <v>532</v>
      </c>
      <c r="J13" s="376"/>
      <c r="K13" s="614">
        <v>21174815</v>
      </c>
      <c r="L13" s="380"/>
      <c r="M13" s="30"/>
      <c r="N13" s="381"/>
      <c r="O13" s="381">
        <v>46183</v>
      </c>
      <c r="P13" s="536"/>
      <c r="Q13" s="30"/>
      <c r="R13" s="30"/>
      <c r="S13" s="103"/>
      <c r="T13" s="433">
        <v>45505</v>
      </c>
    </row>
    <row r="14" spans="1:21" x14ac:dyDescent="0.25">
      <c r="A14" s="641" t="s">
        <v>364</v>
      </c>
      <c r="B14" s="401"/>
      <c r="C14" s="401"/>
      <c r="D14" s="315"/>
      <c r="E14" s="315" t="s">
        <v>528</v>
      </c>
      <c r="F14" s="261" t="s">
        <v>529</v>
      </c>
      <c r="G14" s="525" t="s">
        <v>530</v>
      </c>
      <c r="H14" s="407" t="s">
        <v>531</v>
      </c>
      <c r="I14" s="408" t="s">
        <v>532</v>
      </c>
      <c r="J14" s="402"/>
      <c r="K14" s="612">
        <v>21174816</v>
      </c>
      <c r="L14" s="403"/>
      <c r="M14" s="213"/>
      <c r="N14" s="404"/>
      <c r="O14" s="404">
        <v>45981</v>
      </c>
      <c r="P14" s="441"/>
      <c r="Q14" s="213"/>
      <c r="R14" s="213"/>
      <c r="S14" s="594"/>
      <c r="T14" s="405">
        <v>45581</v>
      </c>
    </row>
    <row r="15" spans="1:21" x14ac:dyDescent="0.25">
      <c r="A15" s="642" t="s">
        <v>366</v>
      </c>
      <c r="B15" s="378"/>
      <c r="C15" s="378"/>
      <c r="D15" s="29"/>
      <c r="E15" s="29" t="s">
        <v>528</v>
      </c>
      <c r="F15" s="243" t="s">
        <v>529</v>
      </c>
      <c r="G15" s="573" t="s">
        <v>530</v>
      </c>
      <c r="H15" s="407" t="s">
        <v>531</v>
      </c>
      <c r="I15" s="408" t="s">
        <v>532</v>
      </c>
      <c r="J15" s="376"/>
      <c r="K15" s="614">
        <v>21102013</v>
      </c>
      <c r="L15" s="380"/>
      <c r="M15" s="30"/>
      <c r="N15" s="381"/>
      <c r="O15" s="381">
        <v>46163</v>
      </c>
      <c r="P15" s="30"/>
      <c r="Q15" s="30"/>
      <c r="R15" s="30"/>
      <c r="S15" s="103"/>
      <c r="T15" s="433">
        <v>45887</v>
      </c>
      <c r="U15" t="s">
        <v>533</v>
      </c>
    </row>
    <row r="16" spans="1:21" x14ac:dyDescent="0.25">
      <c r="A16" s="642" t="s">
        <v>368</v>
      </c>
      <c r="B16" s="378"/>
      <c r="C16" s="378"/>
      <c r="D16" s="29"/>
      <c r="E16" s="29" t="s">
        <v>528</v>
      </c>
      <c r="F16" s="243" t="s">
        <v>529</v>
      </c>
      <c r="G16" s="573" t="s">
        <v>530</v>
      </c>
      <c r="H16" s="376" t="s">
        <v>531</v>
      </c>
      <c r="I16" s="485" t="s">
        <v>532</v>
      </c>
      <c r="J16" s="376"/>
      <c r="K16" s="614">
        <v>21192008</v>
      </c>
      <c r="L16" s="380"/>
      <c r="M16" s="30"/>
      <c r="N16" s="381"/>
      <c r="O16" s="381">
        <v>46044</v>
      </c>
      <c r="P16" s="519"/>
      <c r="Q16" s="30"/>
      <c r="R16" s="30"/>
      <c r="S16" s="103"/>
      <c r="T16" s="433">
        <v>45750</v>
      </c>
    </row>
    <row r="17" spans="1:20" x14ac:dyDescent="0.25">
      <c r="A17" s="653"/>
      <c r="B17" s="638"/>
      <c r="C17" s="638"/>
      <c r="D17" s="638"/>
      <c r="E17" s="639"/>
      <c r="F17" s="639"/>
      <c r="G17" s="638"/>
      <c r="H17" s="638"/>
      <c r="I17" s="638"/>
      <c r="J17" s="638"/>
      <c r="K17" s="640"/>
      <c r="L17" s="638"/>
      <c r="M17" s="638"/>
      <c r="N17" s="638"/>
      <c r="O17" s="638"/>
      <c r="P17" s="638"/>
      <c r="Q17" s="638"/>
      <c r="R17" s="638"/>
      <c r="S17" s="638"/>
      <c r="T17" s="637"/>
    </row>
    <row r="18" spans="1:20" x14ac:dyDescent="0.25">
      <c r="A18" s="656" t="s">
        <v>256</v>
      </c>
      <c r="B18" s="401"/>
      <c r="C18" s="415"/>
      <c r="D18" s="315"/>
      <c r="E18" s="608" t="s">
        <v>534</v>
      </c>
      <c r="F18" s="29" t="s">
        <v>535</v>
      </c>
      <c r="G18" s="416" t="s">
        <v>536</v>
      </c>
      <c r="H18" s="421" t="s">
        <v>537</v>
      </c>
      <c r="I18" s="408" t="s">
        <v>538</v>
      </c>
      <c r="J18" s="416"/>
      <c r="K18" s="612">
        <v>21133775</v>
      </c>
      <c r="L18" s="417"/>
      <c r="M18" s="213"/>
      <c r="N18" s="404"/>
      <c r="O18" s="404">
        <v>46415</v>
      </c>
      <c r="P18" s="441" t="s">
        <v>539</v>
      </c>
      <c r="Q18" s="213"/>
      <c r="R18" s="213"/>
      <c r="S18" s="594"/>
      <c r="T18" s="405">
        <v>46122</v>
      </c>
    </row>
    <row r="19" spans="1:20" x14ac:dyDescent="0.25">
      <c r="A19" s="657"/>
      <c r="B19" s="401"/>
      <c r="C19" s="415"/>
      <c r="D19" s="315"/>
      <c r="E19" s="608" t="s">
        <v>534</v>
      </c>
      <c r="F19" s="29" t="s">
        <v>535</v>
      </c>
      <c r="G19" s="416" t="s">
        <v>536</v>
      </c>
      <c r="H19" s="421" t="s">
        <v>537</v>
      </c>
      <c r="I19" s="408" t="s">
        <v>538</v>
      </c>
      <c r="J19" s="407"/>
      <c r="K19" s="612">
        <v>21133900</v>
      </c>
      <c r="L19" s="421"/>
      <c r="M19" s="213"/>
      <c r="N19" s="404"/>
      <c r="O19" s="404">
        <v>46466</v>
      </c>
      <c r="P19" s="441"/>
      <c r="Q19" s="213"/>
      <c r="R19" s="213"/>
      <c r="S19" s="594"/>
      <c r="T19" s="405">
        <v>46085</v>
      </c>
    </row>
    <row r="20" spans="1:20" x14ac:dyDescent="0.25">
      <c r="A20" s="657" t="s">
        <v>259</v>
      </c>
      <c r="B20" s="401"/>
      <c r="C20" s="415"/>
      <c r="D20" s="315"/>
      <c r="E20" s="608" t="s">
        <v>528</v>
      </c>
      <c r="F20" s="29" t="s">
        <v>535</v>
      </c>
      <c r="G20" s="416" t="s">
        <v>536</v>
      </c>
      <c r="H20" s="574" t="s">
        <v>537</v>
      </c>
      <c r="I20" s="408" t="s">
        <v>538</v>
      </c>
      <c r="J20" s="416"/>
      <c r="K20" s="612"/>
      <c r="L20" s="417"/>
      <c r="M20" s="213"/>
      <c r="N20" s="418"/>
      <c r="O20" s="419"/>
      <c r="P20" s="441"/>
      <c r="Q20" s="213"/>
      <c r="R20" s="213"/>
      <c r="S20" s="594"/>
      <c r="T20" s="405">
        <v>46125</v>
      </c>
    </row>
    <row r="21" spans="1:20" x14ac:dyDescent="0.25">
      <c r="A21" s="657"/>
      <c r="B21" s="401"/>
      <c r="C21" s="415"/>
      <c r="D21" s="315"/>
      <c r="E21" s="608" t="s">
        <v>528</v>
      </c>
      <c r="F21" s="29" t="s">
        <v>535</v>
      </c>
      <c r="G21" s="416" t="s">
        <v>536</v>
      </c>
      <c r="H21" s="421">
        <v>2323583</v>
      </c>
      <c r="I21" s="420" t="s">
        <v>540</v>
      </c>
      <c r="J21" s="402"/>
      <c r="K21" s="616">
        <v>21173424</v>
      </c>
      <c r="L21" s="417"/>
      <c r="M21" s="213"/>
      <c r="N21" s="404"/>
      <c r="O21" s="404">
        <v>46325</v>
      </c>
      <c r="P21" s="441" t="s">
        <v>541</v>
      </c>
      <c r="Q21" s="213"/>
      <c r="R21" s="213"/>
      <c r="S21" s="594"/>
      <c r="T21" s="405">
        <v>45968</v>
      </c>
    </row>
    <row r="22" spans="1:20" x14ac:dyDescent="0.25">
      <c r="A22" s="654" t="s">
        <v>244</v>
      </c>
      <c r="B22" s="401"/>
      <c r="C22" s="415"/>
      <c r="D22" s="315"/>
      <c r="E22" s="608" t="s">
        <v>534</v>
      </c>
      <c r="F22" s="29" t="s">
        <v>535</v>
      </c>
      <c r="G22" s="416" t="s">
        <v>536</v>
      </c>
      <c r="H22" s="421" t="s">
        <v>537</v>
      </c>
      <c r="I22" s="420" t="s">
        <v>538</v>
      </c>
      <c r="J22" s="402"/>
      <c r="K22" s="616"/>
      <c r="L22" s="417"/>
      <c r="M22" s="213"/>
      <c r="N22" s="404"/>
      <c r="O22" s="404">
        <v>46241</v>
      </c>
      <c r="P22" s="405" t="s">
        <v>542</v>
      </c>
      <c r="Q22" s="213"/>
      <c r="R22" s="213"/>
      <c r="S22" s="594"/>
      <c r="T22" s="405">
        <v>46064</v>
      </c>
    </row>
    <row r="23" spans="1:20" x14ac:dyDescent="0.25">
      <c r="A23" s="654" t="s">
        <v>246</v>
      </c>
      <c r="B23" s="378"/>
      <c r="C23" s="378"/>
      <c r="D23" s="29"/>
      <c r="E23" s="608" t="s">
        <v>534</v>
      </c>
      <c r="F23" s="29" t="s">
        <v>535</v>
      </c>
      <c r="G23" s="416" t="s">
        <v>536</v>
      </c>
      <c r="H23" s="574" t="s">
        <v>537</v>
      </c>
      <c r="I23" s="379" t="s">
        <v>538</v>
      </c>
      <c r="J23" s="376"/>
      <c r="K23" s="614"/>
      <c r="L23" s="380"/>
      <c r="M23" s="30"/>
      <c r="N23" s="381"/>
      <c r="O23" s="381">
        <v>46240</v>
      </c>
      <c r="P23" s="536" t="s">
        <v>542</v>
      </c>
      <c r="Q23" s="387" t="str">
        <f>IF('Calibrated Items'!$B23="","No","Yes")</f>
        <v>No</v>
      </c>
      <c r="R23" s="387" t="str">
        <f>IF('Calibrated Items'!$C23="","No","Yes")</f>
        <v>No</v>
      </c>
      <c r="S23" s="596"/>
      <c r="T23" s="405">
        <v>46064</v>
      </c>
    </row>
    <row r="24" spans="1:20" x14ac:dyDescent="0.25">
      <c r="A24" s="657"/>
      <c r="B24" s="401"/>
      <c r="C24" s="415"/>
      <c r="D24" s="315"/>
      <c r="E24" s="608" t="s">
        <v>528</v>
      </c>
      <c r="F24" s="29" t="s">
        <v>535</v>
      </c>
      <c r="G24" s="416" t="s">
        <v>536</v>
      </c>
      <c r="H24" s="421">
        <v>2323583</v>
      </c>
      <c r="I24" s="408" t="s">
        <v>540</v>
      </c>
      <c r="J24" s="416"/>
      <c r="K24" s="612">
        <v>21173423</v>
      </c>
      <c r="L24" s="417"/>
      <c r="M24" s="213"/>
      <c r="N24" s="404"/>
      <c r="O24" s="404">
        <v>46374</v>
      </c>
      <c r="P24" s="536" t="s">
        <v>541</v>
      </c>
      <c r="Q24" s="213"/>
      <c r="R24" s="213"/>
      <c r="S24" s="594"/>
      <c r="T24" s="405">
        <v>45968</v>
      </c>
    </row>
    <row r="25" spans="1:20" x14ac:dyDescent="0.25">
      <c r="A25" s="658" t="s">
        <v>240</v>
      </c>
      <c r="B25" s="422"/>
      <c r="C25" s="423"/>
      <c r="D25" s="424"/>
      <c r="E25" s="608" t="s">
        <v>543</v>
      </c>
      <c r="F25" s="29" t="s">
        <v>535</v>
      </c>
      <c r="G25" s="416" t="s">
        <v>536</v>
      </c>
      <c r="H25" s="407" t="s">
        <v>537</v>
      </c>
      <c r="I25" s="420" t="s">
        <v>538</v>
      </c>
      <c r="J25" s="425"/>
      <c r="K25" s="612"/>
      <c r="L25" s="428"/>
      <c r="M25" s="429"/>
      <c r="N25" s="430"/>
      <c r="O25" s="442">
        <v>46469</v>
      </c>
      <c r="P25" s="441"/>
      <c r="Q25" s="30"/>
      <c r="R25" s="30"/>
      <c r="S25" s="103"/>
      <c r="T25" s="405">
        <v>46122</v>
      </c>
    </row>
    <row r="26" spans="1:20" ht="15" customHeight="1" x14ac:dyDescent="0.25">
      <c r="A26" s="655" t="s">
        <v>254</v>
      </c>
      <c r="B26" s="401"/>
      <c r="C26" s="415"/>
      <c r="D26" s="315"/>
      <c r="E26" s="608" t="s">
        <v>534</v>
      </c>
      <c r="F26" s="29" t="s">
        <v>535</v>
      </c>
      <c r="G26" s="416" t="s">
        <v>536</v>
      </c>
      <c r="H26" s="407" t="s">
        <v>537</v>
      </c>
      <c r="I26" s="420" t="s">
        <v>538</v>
      </c>
      <c r="J26" s="407"/>
      <c r="K26" s="612">
        <v>21133597</v>
      </c>
      <c r="L26" s="421"/>
      <c r="M26" s="213"/>
      <c r="N26" s="404"/>
      <c r="O26" s="432">
        <v>46436</v>
      </c>
      <c r="P26" s="307" t="s">
        <v>539</v>
      </c>
      <c r="Q26" s="213"/>
      <c r="R26" s="213"/>
      <c r="S26" s="594"/>
      <c r="T26" s="405">
        <v>46122</v>
      </c>
    </row>
    <row r="27" spans="1:20" x14ac:dyDescent="0.25">
      <c r="A27" s="654" t="s">
        <v>251</v>
      </c>
      <c r="B27" s="401"/>
      <c r="C27" s="415"/>
      <c r="D27" s="693"/>
      <c r="E27" s="694" t="s">
        <v>534</v>
      </c>
      <c r="F27" s="29" t="s">
        <v>535</v>
      </c>
      <c r="G27" s="416" t="s">
        <v>536</v>
      </c>
      <c r="H27" s="407" t="s">
        <v>537</v>
      </c>
      <c r="I27" s="420" t="s">
        <v>538</v>
      </c>
      <c r="J27" s="407"/>
      <c r="K27" s="612">
        <v>21133595</v>
      </c>
      <c r="L27" s="421"/>
      <c r="M27" s="213"/>
      <c r="N27" s="404"/>
      <c r="O27" s="432">
        <v>46409</v>
      </c>
      <c r="P27" s="30"/>
      <c r="Q27" s="213"/>
      <c r="R27" s="213"/>
      <c r="S27" s="594"/>
      <c r="T27" s="405">
        <v>45968</v>
      </c>
    </row>
    <row r="28" spans="1:20" x14ac:dyDescent="0.25">
      <c r="A28" s="657" t="s">
        <v>263</v>
      </c>
      <c r="B28" s="401"/>
      <c r="C28" s="415"/>
      <c r="D28" s="315"/>
      <c r="E28" s="608" t="s">
        <v>534</v>
      </c>
      <c r="F28" s="29" t="s">
        <v>535</v>
      </c>
      <c r="G28" s="416" t="s">
        <v>536</v>
      </c>
      <c r="H28" s="427"/>
      <c r="I28" s="426" t="s">
        <v>538</v>
      </c>
      <c r="J28" s="425"/>
      <c r="K28" s="994">
        <v>21133308</v>
      </c>
      <c r="L28" s="428"/>
      <c r="M28" s="429"/>
      <c r="N28" s="430"/>
      <c r="O28" s="432">
        <v>46241</v>
      </c>
      <c r="P28" s="536"/>
      <c r="Q28" s="30"/>
      <c r="R28" s="30"/>
      <c r="S28" s="103"/>
      <c r="T28" s="405">
        <v>46125</v>
      </c>
    </row>
    <row r="29" spans="1:20" x14ac:dyDescent="0.25">
      <c r="A29" s="657" t="s">
        <v>265</v>
      </c>
      <c r="B29" s="213"/>
      <c r="C29" s="415"/>
      <c r="D29" s="315"/>
      <c r="E29" s="608" t="s">
        <v>534</v>
      </c>
      <c r="F29" s="29" t="s">
        <v>535</v>
      </c>
      <c r="G29" s="416" t="s">
        <v>536</v>
      </c>
      <c r="H29" s="421"/>
      <c r="I29" s="408" t="s">
        <v>538</v>
      </c>
      <c r="J29" s="407"/>
      <c r="K29" s="995">
        <v>21133594</v>
      </c>
      <c r="L29" s="421"/>
      <c r="M29" s="213"/>
      <c r="N29" s="404"/>
      <c r="O29" s="432">
        <v>46240</v>
      </c>
      <c r="P29" s="536" t="s">
        <v>539</v>
      </c>
      <c r="Q29" s="213"/>
      <c r="R29" s="213"/>
      <c r="S29" s="594"/>
      <c r="T29" s="405">
        <v>46122</v>
      </c>
    </row>
    <row r="30" spans="1:20" x14ac:dyDescent="0.25">
      <c r="A30" s="657" t="s">
        <v>249</v>
      </c>
      <c r="B30" s="213"/>
      <c r="C30" s="415"/>
      <c r="D30" s="315"/>
      <c r="E30" s="971" t="s">
        <v>534</v>
      </c>
      <c r="F30" s="971" t="s">
        <v>535</v>
      </c>
      <c r="G30" s="416" t="s">
        <v>536</v>
      </c>
      <c r="H30" s="421" t="s">
        <v>537</v>
      </c>
      <c r="I30" s="408" t="s">
        <v>538</v>
      </c>
      <c r="J30" s="407"/>
      <c r="K30" s="995">
        <v>21133592</v>
      </c>
      <c r="L30" s="421"/>
      <c r="M30" s="213"/>
      <c r="N30" s="404"/>
      <c r="O30" s="432"/>
      <c r="P30" s="536" t="s">
        <v>544</v>
      </c>
      <c r="Q30" s="213"/>
      <c r="R30" s="213"/>
      <c r="S30" s="594"/>
      <c r="T30" s="405">
        <v>46062</v>
      </c>
    </row>
    <row r="31" spans="1:20" x14ac:dyDescent="0.25">
      <c r="A31" s="658" t="s">
        <v>545</v>
      </c>
      <c r="B31" s="422"/>
      <c r="C31" s="423"/>
      <c r="D31" s="424"/>
      <c r="E31" s="995" t="s">
        <v>534</v>
      </c>
      <c r="F31" s="29" t="s">
        <v>535</v>
      </c>
      <c r="G31" s="416" t="s">
        <v>536</v>
      </c>
      <c r="H31" s="421"/>
      <c r="I31" s="408" t="s">
        <v>538</v>
      </c>
      <c r="J31" s="416"/>
      <c r="K31" s="995">
        <v>21133307</v>
      </c>
      <c r="L31" s="417"/>
      <c r="M31" s="213"/>
      <c r="N31" s="404"/>
      <c r="O31" s="432">
        <v>46469</v>
      </c>
      <c r="P31" s="536" t="s">
        <v>539</v>
      </c>
      <c r="Q31" s="213"/>
      <c r="R31" s="213"/>
      <c r="S31" s="594"/>
      <c r="T31" s="405">
        <v>46125</v>
      </c>
    </row>
    <row r="32" spans="1:20" ht="15" customHeight="1" x14ac:dyDescent="0.25">
      <c r="A32" s="657" t="s">
        <v>267</v>
      </c>
      <c r="B32" s="401"/>
      <c r="C32" s="415"/>
      <c r="D32" s="315"/>
      <c r="E32" s="608" t="s">
        <v>534</v>
      </c>
      <c r="F32" s="29" t="s">
        <v>535</v>
      </c>
      <c r="G32" s="416" t="s">
        <v>536</v>
      </c>
      <c r="H32" s="421"/>
      <c r="I32" s="593" t="s">
        <v>538</v>
      </c>
      <c r="J32" s="416"/>
      <c r="K32" s="612"/>
      <c r="L32" s="417"/>
      <c r="M32" s="213"/>
      <c r="N32" s="404"/>
      <c r="O32" s="432"/>
      <c r="P32" s="536" t="s">
        <v>546</v>
      </c>
      <c r="Q32" s="30"/>
      <c r="R32" s="30"/>
      <c r="S32" s="103"/>
      <c r="T32" s="405">
        <v>45551</v>
      </c>
    </row>
    <row r="33" spans="1:20" ht="13.5" customHeight="1" x14ac:dyDescent="0.25">
      <c r="A33" s="657" t="s">
        <v>261</v>
      </c>
      <c r="B33" s="401"/>
      <c r="C33" s="415"/>
      <c r="D33" s="315"/>
      <c r="E33" s="608" t="s">
        <v>534</v>
      </c>
      <c r="F33" s="29" t="s">
        <v>535</v>
      </c>
      <c r="G33" s="416" t="s">
        <v>536</v>
      </c>
      <c r="H33" s="421"/>
      <c r="I33" s="593" t="s">
        <v>538</v>
      </c>
      <c r="J33" s="416"/>
      <c r="K33" s="612"/>
      <c r="L33" s="417"/>
      <c r="M33" s="213"/>
      <c r="N33" s="404"/>
      <c r="O33" s="432"/>
      <c r="P33" s="536"/>
      <c r="Q33" s="30"/>
      <c r="R33" s="30"/>
      <c r="S33" s="103"/>
      <c r="T33" s="405">
        <v>46125</v>
      </c>
    </row>
    <row r="34" spans="1:20" ht="17.25" customHeight="1" x14ac:dyDescent="0.25">
      <c r="A34" s="919" t="s">
        <v>547</v>
      </c>
      <c r="B34" s="920"/>
      <c r="C34" s="921"/>
      <c r="D34" s="922"/>
      <c r="E34" s="923" t="s">
        <v>548</v>
      </c>
      <c r="F34" s="924"/>
      <c r="G34" s="925" t="s">
        <v>536</v>
      </c>
      <c r="H34" s="926" t="s">
        <v>537</v>
      </c>
      <c r="I34" s="549">
        <v>21174815</v>
      </c>
      <c r="J34" s="926"/>
      <c r="K34" s="927">
        <v>21133593</v>
      </c>
      <c r="L34" s="928"/>
      <c r="M34" s="929"/>
      <c r="N34" s="930"/>
      <c r="O34" s="930">
        <v>45528</v>
      </c>
      <c r="P34" s="931" t="s">
        <v>549</v>
      </c>
      <c r="Q34" s="929"/>
      <c r="R34" s="929"/>
      <c r="S34" s="932"/>
      <c r="T34" s="933">
        <v>45140</v>
      </c>
    </row>
    <row r="35" spans="1:20" ht="17.25" customHeight="1" x14ac:dyDescent="0.25">
      <c r="A35" s="641"/>
      <c r="B35" s="401"/>
      <c r="C35" s="415"/>
      <c r="D35" s="315"/>
      <c r="E35" s="934" t="s">
        <v>534</v>
      </c>
      <c r="F35" s="935" t="s">
        <v>535</v>
      </c>
      <c r="G35" s="416" t="s">
        <v>536</v>
      </c>
      <c r="H35" s="407" t="s">
        <v>537</v>
      </c>
      <c r="I35" s="936" t="s">
        <v>538</v>
      </c>
      <c r="J35" s="407"/>
      <c r="K35" s="612"/>
      <c r="L35" s="421"/>
      <c r="M35" s="213"/>
      <c r="N35" s="404"/>
      <c r="O35" s="404"/>
      <c r="P35" s="405" t="s">
        <v>550</v>
      </c>
      <c r="Q35" s="929"/>
      <c r="R35" s="929"/>
      <c r="S35" s="932"/>
      <c r="T35" s="933"/>
    </row>
    <row r="36" spans="1:20" ht="17.25" customHeight="1" x14ac:dyDescent="0.25">
      <c r="A36" s="641"/>
      <c r="B36" s="401"/>
      <c r="C36" s="415"/>
      <c r="D36" s="315"/>
      <c r="E36" s="934" t="s">
        <v>534</v>
      </c>
      <c r="F36" s="935" t="s">
        <v>535</v>
      </c>
      <c r="G36" s="416" t="s">
        <v>536</v>
      </c>
      <c r="H36" s="407" t="s">
        <v>537</v>
      </c>
      <c r="I36" s="936" t="s">
        <v>538</v>
      </c>
      <c r="J36" s="407"/>
      <c r="K36" s="612"/>
      <c r="L36" s="421"/>
      <c r="M36" s="213"/>
      <c r="N36" s="404"/>
      <c r="O36" s="404"/>
      <c r="P36" s="405"/>
      <c r="Q36" s="929"/>
      <c r="R36" s="929"/>
      <c r="S36" s="932"/>
      <c r="T36" s="933"/>
    </row>
    <row r="37" spans="1:20" ht="17.25" customHeight="1" x14ac:dyDescent="0.25">
      <c r="A37" s="641"/>
      <c r="B37" s="401"/>
      <c r="C37" s="415"/>
      <c r="D37" s="315"/>
      <c r="E37" s="934"/>
      <c r="F37" s="935"/>
      <c r="G37" s="416"/>
      <c r="H37" s="407"/>
      <c r="I37" s="936"/>
      <c r="J37" s="407"/>
      <c r="K37" s="612"/>
      <c r="L37" s="421"/>
      <c r="M37" s="213"/>
      <c r="N37" s="404"/>
      <c r="O37" s="404"/>
      <c r="P37" s="405"/>
      <c r="Q37" s="929"/>
      <c r="R37" s="929"/>
      <c r="S37" s="932"/>
      <c r="T37" s="933"/>
    </row>
    <row r="38" spans="1:20" ht="17.25" customHeight="1" x14ac:dyDescent="0.25">
      <c r="A38" s="641"/>
      <c r="B38" s="401"/>
      <c r="C38" s="415"/>
      <c r="D38" s="315"/>
      <c r="E38" s="934"/>
      <c r="F38" s="935"/>
      <c r="G38" s="416"/>
      <c r="H38" s="407"/>
      <c r="I38" s="936"/>
      <c r="J38" s="407"/>
      <c r="K38" s="612"/>
      <c r="L38" s="421"/>
      <c r="M38" s="213"/>
      <c r="N38" s="404"/>
      <c r="O38" s="404"/>
      <c r="P38" s="405"/>
      <c r="Q38" s="929"/>
      <c r="R38" s="929"/>
      <c r="S38" s="932"/>
      <c r="T38" s="933"/>
    </row>
    <row r="39" spans="1:20" s="30" customFormat="1" ht="15.75" x14ac:dyDescent="0.25">
      <c r="A39" s="641"/>
      <c r="B39" s="401"/>
      <c r="C39" s="415"/>
      <c r="D39" s="315"/>
      <c r="E39" s="934"/>
      <c r="F39" s="935"/>
      <c r="G39" s="416"/>
      <c r="H39" s="407"/>
      <c r="I39" s="936"/>
      <c r="J39" s="407"/>
      <c r="K39" s="612"/>
      <c r="L39" s="421"/>
      <c r="M39" s="213"/>
      <c r="N39" s="404"/>
      <c r="O39" s="404"/>
      <c r="P39" s="405"/>
      <c r="Q39" s="213"/>
      <c r="R39" s="213"/>
      <c r="S39" s="213"/>
      <c r="T39" s="405"/>
    </row>
    <row r="40" spans="1:20" x14ac:dyDescent="0.25">
      <c r="A40" s="653"/>
      <c r="B40" s="638"/>
      <c r="C40" s="638"/>
      <c r="D40" s="638"/>
      <c r="E40" s="639"/>
      <c r="F40" s="639"/>
      <c r="G40" s="638"/>
      <c r="H40" s="638"/>
      <c r="I40" s="638"/>
      <c r="J40" s="638"/>
      <c r="K40" s="640"/>
      <c r="L40" s="638"/>
      <c r="M40" s="638"/>
      <c r="N40" s="638"/>
      <c r="O40" s="638"/>
      <c r="P40" s="638"/>
      <c r="Q40" s="638"/>
      <c r="R40" s="638"/>
      <c r="S40" s="638"/>
      <c r="T40" s="1083"/>
    </row>
    <row r="41" spans="1:20" x14ac:dyDescent="0.25">
      <c r="A41" s="740" t="s">
        <v>39</v>
      </c>
      <c r="B41" s="741"/>
      <c r="C41" s="741"/>
      <c r="D41" s="742"/>
      <c r="E41" s="267" t="s">
        <v>551</v>
      </c>
      <c r="F41" s="267" t="s">
        <v>552</v>
      </c>
      <c r="G41" s="743" t="s">
        <v>553</v>
      </c>
      <c r="H41" s="744" t="s">
        <v>554</v>
      </c>
      <c r="I41" s="745" t="s">
        <v>555</v>
      </c>
      <c r="J41" s="744"/>
      <c r="K41" s="1079"/>
      <c r="L41" s="744"/>
      <c r="M41" s="746"/>
      <c r="N41" s="746"/>
      <c r="O41" s="1081">
        <v>46492</v>
      </c>
      <c r="P41" s="1080"/>
      <c r="Q41" s="1080"/>
      <c r="R41" s="1080"/>
      <c r="S41" s="1080"/>
      <c r="T41" s="1080"/>
    </row>
    <row r="42" spans="1:20" x14ac:dyDescent="0.25">
      <c r="A42" s="740" t="s">
        <v>39</v>
      </c>
      <c r="B42" s="741"/>
      <c r="C42" s="741"/>
      <c r="D42" s="742"/>
      <c r="E42" s="267" t="s">
        <v>551</v>
      </c>
      <c r="F42" s="267" t="s">
        <v>552</v>
      </c>
      <c r="G42" s="743" t="s">
        <v>553</v>
      </c>
      <c r="H42" s="744" t="s">
        <v>554</v>
      </c>
      <c r="I42" s="745" t="s">
        <v>555</v>
      </c>
      <c r="J42" s="744"/>
      <c r="K42" s="1079"/>
      <c r="L42" s="744"/>
      <c r="M42" s="746"/>
      <c r="N42" s="746"/>
      <c r="O42" s="1082">
        <v>46492</v>
      </c>
      <c r="P42" s="1080"/>
      <c r="Q42" s="1080"/>
      <c r="R42" s="1080"/>
      <c r="S42" s="1080"/>
      <c r="T42" s="1080"/>
    </row>
    <row r="43" spans="1:20" x14ac:dyDescent="0.25">
      <c r="A43" s="740" t="s">
        <v>39</v>
      </c>
      <c r="B43" s="741"/>
      <c r="C43" s="741"/>
      <c r="D43" s="742"/>
      <c r="E43" s="267" t="s">
        <v>551</v>
      </c>
      <c r="F43" s="267" t="s">
        <v>552</v>
      </c>
      <c r="G43" s="743" t="s">
        <v>553</v>
      </c>
      <c r="H43" s="744" t="s">
        <v>554</v>
      </c>
      <c r="I43" s="745" t="s">
        <v>555</v>
      </c>
      <c r="J43" s="744"/>
      <c r="K43" s="1079"/>
      <c r="L43" s="744"/>
      <c r="M43" s="746"/>
      <c r="N43" s="746"/>
      <c r="O43" s="1081">
        <v>46492</v>
      </c>
      <c r="P43" s="1080"/>
      <c r="Q43" s="1080"/>
      <c r="R43" s="1080"/>
      <c r="S43" s="1080"/>
      <c r="T43" s="1080"/>
    </row>
    <row r="44" spans="1:20" x14ac:dyDescent="0.25">
      <c r="A44" s="740" t="s">
        <v>39</v>
      </c>
      <c r="B44" s="747"/>
      <c r="C44" s="747"/>
      <c r="D44" s="748"/>
      <c r="E44" s="267" t="s">
        <v>556</v>
      </c>
      <c r="F44" s="267" t="s">
        <v>552</v>
      </c>
      <c r="G44" s="743" t="s">
        <v>553</v>
      </c>
      <c r="H44" s="744" t="s">
        <v>557</v>
      </c>
      <c r="I44" s="745" t="s">
        <v>558</v>
      </c>
      <c r="J44" s="744"/>
      <c r="K44" s="1079"/>
      <c r="L44" s="744"/>
      <c r="M44" s="746"/>
      <c r="N44" s="746"/>
      <c r="O44" s="1081">
        <v>46506</v>
      </c>
      <c r="P44" s="1080"/>
      <c r="Q44" s="1080"/>
      <c r="R44" s="1080"/>
      <c r="S44" s="1080"/>
      <c r="T44" s="1080"/>
    </row>
    <row r="45" spans="1:20" x14ac:dyDescent="0.25">
      <c r="A45" s="643"/>
      <c r="B45" s="468"/>
      <c r="C45" s="468"/>
      <c r="D45" s="469"/>
      <c r="E45" s="609" t="s">
        <v>551</v>
      </c>
      <c r="F45" s="609" t="s">
        <v>552</v>
      </c>
      <c r="G45" s="636" t="s">
        <v>553</v>
      </c>
      <c r="H45" s="470" t="s">
        <v>554</v>
      </c>
      <c r="I45" s="471" t="s">
        <v>555</v>
      </c>
      <c r="J45" s="470"/>
      <c r="K45" s="588">
        <v>21133935</v>
      </c>
      <c r="L45" s="470"/>
      <c r="M45" s="265"/>
      <c r="N45" s="265"/>
      <c r="O45" s="394">
        <v>46331</v>
      </c>
      <c r="P45" s="1084" t="s">
        <v>559</v>
      </c>
      <c r="Q45" s="1085"/>
      <c r="R45" s="1085"/>
      <c r="S45" s="1086"/>
      <c r="T45" s="1087">
        <v>45965</v>
      </c>
    </row>
    <row r="46" spans="1:20" x14ac:dyDescent="0.25">
      <c r="A46" s="643"/>
      <c r="B46" s="468"/>
      <c r="C46" s="468"/>
      <c r="D46" s="469"/>
      <c r="E46" s="609" t="s">
        <v>551</v>
      </c>
      <c r="F46" s="609" t="s">
        <v>552</v>
      </c>
      <c r="G46" s="636" t="s">
        <v>553</v>
      </c>
      <c r="H46" s="470" t="s">
        <v>554</v>
      </c>
      <c r="I46" s="471" t="s">
        <v>555</v>
      </c>
      <c r="J46" s="470"/>
      <c r="K46" s="588">
        <v>21133934</v>
      </c>
      <c r="L46" s="470"/>
      <c r="M46" s="265"/>
      <c r="N46" s="265"/>
      <c r="O46" s="484">
        <v>46331</v>
      </c>
      <c r="P46" s="524" t="s">
        <v>559</v>
      </c>
      <c r="Q46" s="265"/>
      <c r="R46" s="265"/>
      <c r="S46" s="597"/>
      <c r="T46" s="699">
        <v>45965</v>
      </c>
    </row>
    <row r="47" spans="1:20" x14ac:dyDescent="0.25">
      <c r="A47" s="643"/>
      <c r="B47" s="468"/>
      <c r="C47" s="468"/>
      <c r="D47" s="469"/>
      <c r="E47" s="609" t="s">
        <v>551</v>
      </c>
      <c r="F47" s="609" t="s">
        <v>552</v>
      </c>
      <c r="G47" s="636" t="s">
        <v>553</v>
      </c>
      <c r="H47" s="470" t="s">
        <v>554</v>
      </c>
      <c r="I47" s="471" t="s">
        <v>555</v>
      </c>
      <c r="J47" s="470"/>
      <c r="K47" s="588">
        <v>21133933</v>
      </c>
      <c r="L47" s="470"/>
      <c r="M47" s="265"/>
      <c r="N47" s="265"/>
      <c r="O47" s="394">
        <v>46331</v>
      </c>
      <c r="P47" s="524" t="s">
        <v>559</v>
      </c>
      <c r="Q47" s="265"/>
      <c r="R47" s="265"/>
      <c r="S47" s="597"/>
      <c r="T47" s="699">
        <v>45965</v>
      </c>
    </row>
    <row r="48" spans="1:20" x14ac:dyDescent="0.25">
      <c r="A48" s="643"/>
      <c r="B48" s="472"/>
      <c r="C48" s="472"/>
      <c r="D48" s="473"/>
      <c r="E48" s="609" t="s">
        <v>556</v>
      </c>
      <c r="F48" s="609" t="s">
        <v>552</v>
      </c>
      <c r="G48" s="636" t="s">
        <v>553</v>
      </c>
      <c r="H48" s="470" t="s">
        <v>557</v>
      </c>
      <c r="I48" s="471" t="s">
        <v>558</v>
      </c>
      <c r="J48" s="470"/>
      <c r="K48" s="588">
        <v>21133932</v>
      </c>
      <c r="L48" s="470"/>
      <c r="M48" s="265"/>
      <c r="N48" s="265"/>
      <c r="O48" s="394">
        <v>46331</v>
      </c>
      <c r="P48" s="524" t="s">
        <v>559</v>
      </c>
      <c r="Q48" s="265"/>
      <c r="R48" s="265"/>
      <c r="S48" s="597"/>
      <c r="T48" s="699">
        <v>45965</v>
      </c>
    </row>
    <row r="49" spans="1:20" x14ac:dyDescent="0.25">
      <c r="A49" s="644" t="s">
        <v>560</v>
      </c>
      <c r="B49" s="409"/>
      <c r="C49" s="409"/>
      <c r="D49" s="410"/>
      <c r="E49" s="610" t="s">
        <v>521</v>
      </c>
      <c r="F49" s="610" t="s">
        <v>552</v>
      </c>
      <c r="G49" s="629" t="s">
        <v>530</v>
      </c>
      <c r="H49" s="629" t="s">
        <v>561</v>
      </c>
      <c r="I49" s="607" t="s">
        <v>562</v>
      </c>
      <c r="J49" s="514"/>
      <c r="K49" s="615">
        <v>21247226</v>
      </c>
      <c r="L49" s="412"/>
      <c r="M49" s="413"/>
      <c r="N49" s="414"/>
      <c r="O49" s="381">
        <v>46058</v>
      </c>
      <c r="P49" s="413" t="s">
        <v>563</v>
      </c>
      <c r="Q49" s="413"/>
      <c r="R49" s="413"/>
      <c r="S49" s="595"/>
      <c r="T49" s="604">
        <v>45700</v>
      </c>
    </row>
    <row r="50" spans="1:20" x14ac:dyDescent="0.25">
      <c r="A50" s="644" t="s">
        <v>560</v>
      </c>
      <c r="B50" s="409"/>
      <c r="C50" s="409"/>
      <c r="D50" s="410"/>
      <c r="E50" s="410" t="s">
        <v>556</v>
      </c>
      <c r="F50" s="610" t="s">
        <v>552</v>
      </c>
      <c r="G50" s="629" t="s">
        <v>564</v>
      </c>
      <c r="H50" s="629" t="s">
        <v>565</v>
      </c>
      <c r="I50" s="607" t="s">
        <v>566</v>
      </c>
      <c r="J50" s="514"/>
      <c r="K50" s="615">
        <v>21314397</v>
      </c>
      <c r="L50" s="412"/>
      <c r="M50" s="413"/>
      <c r="N50" s="414"/>
      <c r="O50" s="381">
        <v>46058</v>
      </c>
      <c r="P50" s="413" t="s">
        <v>563</v>
      </c>
      <c r="Q50" s="413"/>
      <c r="R50" s="413"/>
      <c r="S50" s="595"/>
      <c r="T50" s="604">
        <v>45700</v>
      </c>
    </row>
    <row r="51" spans="1:20" x14ac:dyDescent="0.25">
      <c r="A51" s="644" t="s">
        <v>560</v>
      </c>
      <c r="B51" s="409"/>
      <c r="C51" s="409"/>
      <c r="D51" s="410"/>
      <c r="E51" s="589" t="s">
        <v>521</v>
      </c>
      <c r="F51" s="610" t="s">
        <v>552</v>
      </c>
      <c r="G51" s="629" t="s">
        <v>530</v>
      </c>
      <c r="H51" s="630" t="s">
        <v>561</v>
      </c>
      <c r="I51" s="631" t="s">
        <v>562</v>
      </c>
      <c r="J51" s="515"/>
      <c r="K51" s="617">
        <v>21247227</v>
      </c>
      <c r="L51" s="516"/>
      <c r="M51" s="517"/>
      <c r="N51" s="518"/>
      <c r="O51" s="490">
        <v>46058</v>
      </c>
      <c r="P51" s="413" t="s">
        <v>563</v>
      </c>
      <c r="Q51" s="413"/>
      <c r="R51" s="413"/>
      <c r="S51" s="595"/>
      <c r="T51" s="604">
        <v>45700</v>
      </c>
    </row>
    <row r="52" spans="1:20" x14ac:dyDescent="0.25">
      <c r="A52" s="644" t="s">
        <v>560</v>
      </c>
      <c r="B52" s="409"/>
      <c r="C52" s="409"/>
      <c r="D52" s="410"/>
      <c r="E52" s="589" t="s">
        <v>521</v>
      </c>
      <c r="F52" s="610" t="s">
        <v>552</v>
      </c>
      <c r="G52" s="629" t="s">
        <v>530</v>
      </c>
      <c r="H52" s="411" t="s">
        <v>561</v>
      </c>
      <c r="I52" s="431" t="s">
        <v>562</v>
      </c>
      <c r="J52" s="411"/>
      <c r="K52" s="615">
        <v>21247225</v>
      </c>
      <c r="L52" s="412"/>
      <c r="M52" s="413"/>
      <c r="N52" s="414"/>
      <c r="O52" s="381">
        <v>46058</v>
      </c>
      <c r="P52" s="413" t="s">
        <v>563</v>
      </c>
      <c r="T52" s="604">
        <v>45700</v>
      </c>
    </row>
    <row r="53" spans="1:20" x14ac:dyDescent="0.25">
      <c r="A53" s="645" t="s">
        <v>33</v>
      </c>
      <c r="B53" s="576"/>
      <c r="C53" s="576"/>
      <c r="D53" s="577"/>
      <c r="E53" s="577" t="s">
        <v>551</v>
      </c>
      <c r="F53" s="577" t="s">
        <v>552</v>
      </c>
      <c r="G53" s="579" t="s">
        <v>553</v>
      </c>
      <c r="H53" s="578" t="s">
        <v>554</v>
      </c>
      <c r="I53" s="580" t="s">
        <v>555</v>
      </c>
      <c r="J53" s="578"/>
      <c r="K53" s="618">
        <v>21311485</v>
      </c>
      <c r="L53" s="581"/>
      <c r="M53" s="575"/>
      <c r="N53" s="582"/>
      <c r="O53" s="584">
        <v>46281</v>
      </c>
      <c r="P53" s="575"/>
      <c r="Q53" s="583"/>
      <c r="R53" s="583"/>
      <c r="S53" s="583"/>
      <c r="T53" s="605">
        <v>45567</v>
      </c>
    </row>
    <row r="54" spans="1:20" x14ac:dyDescent="0.25">
      <c r="A54" s="645" t="s">
        <v>33</v>
      </c>
      <c r="B54" s="576"/>
      <c r="C54" s="576"/>
      <c r="D54" s="577"/>
      <c r="E54" s="577" t="s">
        <v>551</v>
      </c>
      <c r="F54" s="577" t="s">
        <v>552</v>
      </c>
      <c r="G54" s="579" t="s">
        <v>553</v>
      </c>
      <c r="H54" s="578" t="s">
        <v>554</v>
      </c>
      <c r="I54" s="580" t="s">
        <v>555</v>
      </c>
      <c r="J54" s="578"/>
      <c r="K54" s="618">
        <v>21311479</v>
      </c>
      <c r="L54" s="581"/>
      <c r="M54" s="575"/>
      <c r="N54" s="582"/>
      <c r="O54" s="584">
        <v>46281</v>
      </c>
      <c r="P54" s="575"/>
      <c r="Q54" s="583"/>
      <c r="R54" s="583"/>
      <c r="S54" s="583"/>
      <c r="T54" s="605">
        <v>45567</v>
      </c>
    </row>
    <row r="55" spans="1:20" x14ac:dyDescent="0.25">
      <c r="A55" s="645" t="s">
        <v>33</v>
      </c>
      <c r="B55" s="576"/>
      <c r="C55" s="576"/>
      <c r="D55" s="577"/>
      <c r="E55" s="577" t="s">
        <v>556</v>
      </c>
      <c r="F55" s="577" t="s">
        <v>552</v>
      </c>
      <c r="G55" s="579" t="s">
        <v>553</v>
      </c>
      <c r="H55" s="578" t="s">
        <v>557</v>
      </c>
      <c r="I55" s="580" t="s">
        <v>558</v>
      </c>
      <c r="J55" s="578"/>
      <c r="K55" s="618">
        <v>21314368</v>
      </c>
      <c r="L55" s="581"/>
      <c r="M55" s="575"/>
      <c r="N55" s="582"/>
      <c r="O55" s="584">
        <v>46281</v>
      </c>
      <c r="P55" s="575"/>
      <c r="Q55" s="583"/>
      <c r="R55" s="583"/>
      <c r="S55" s="583"/>
      <c r="T55" s="605">
        <v>45567</v>
      </c>
    </row>
    <row r="56" spans="1:20" x14ac:dyDescent="0.25">
      <c r="A56" s="645" t="s">
        <v>33</v>
      </c>
      <c r="B56" s="576"/>
      <c r="C56" s="576"/>
      <c r="D56" s="577"/>
      <c r="E56" s="577" t="s">
        <v>551</v>
      </c>
      <c r="F56" s="577" t="s">
        <v>552</v>
      </c>
      <c r="G56" s="579" t="s">
        <v>553</v>
      </c>
      <c r="H56" s="578" t="s">
        <v>554</v>
      </c>
      <c r="I56" s="580" t="s">
        <v>555</v>
      </c>
      <c r="J56" s="578"/>
      <c r="K56" s="618">
        <v>21311481</v>
      </c>
      <c r="L56" s="581"/>
      <c r="M56" s="575"/>
      <c r="N56" s="582"/>
      <c r="O56" s="584">
        <v>46281</v>
      </c>
      <c r="P56" s="575"/>
      <c r="Q56" s="583"/>
      <c r="R56" s="583"/>
      <c r="S56" s="583"/>
      <c r="T56" s="605">
        <v>45567</v>
      </c>
    </row>
    <row r="57" spans="1:20" ht="15.75" customHeight="1" x14ac:dyDescent="0.2">
      <c r="A57" s="647" t="s">
        <v>567</v>
      </c>
      <c r="B57" s="389"/>
      <c r="C57" s="389"/>
      <c r="D57" s="390"/>
      <c r="E57" s="571" t="s">
        <v>551</v>
      </c>
      <c r="F57" s="571" t="s">
        <v>552</v>
      </c>
      <c r="G57" s="635" t="s">
        <v>553</v>
      </c>
      <c r="H57" s="391" t="s">
        <v>554</v>
      </c>
      <c r="I57" s="392" t="s">
        <v>555</v>
      </c>
      <c r="J57" s="391"/>
      <c r="K57" s="1078">
        <v>21375364</v>
      </c>
      <c r="L57" s="393"/>
      <c r="M57" s="266"/>
      <c r="N57" s="394"/>
      <c r="O57" s="381"/>
      <c r="P57" s="1088" t="s">
        <v>568</v>
      </c>
      <c r="Q57" s="1089"/>
      <c r="R57" s="1089"/>
      <c r="S57" s="1089"/>
      <c r="T57" s="701">
        <v>46134</v>
      </c>
    </row>
    <row r="58" spans="1:20" ht="15" customHeight="1" x14ac:dyDescent="0.2">
      <c r="A58" s="647" t="s">
        <v>567</v>
      </c>
      <c r="B58" s="389"/>
      <c r="C58" s="389"/>
      <c r="D58" s="390"/>
      <c r="E58" s="571" t="s">
        <v>551</v>
      </c>
      <c r="F58" s="571" t="s">
        <v>552</v>
      </c>
      <c r="G58" s="635" t="s">
        <v>553</v>
      </c>
      <c r="H58" s="391" t="s">
        <v>554</v>
      </c>
      <c r="I58" s="392" t="s">
        <v>555</v>
      </c>
      <c r="J58" s="391"/>
      <c r="K58" s="1078">
        <v>21375365</v>
      </c>
      <c r="L58" s="393"/>
      <c r="M58" s="266"/>
      <c r="N58" s="394"/>
      <c r="O58" s="381"/>
      <c r="P58" s="1088" t="s">
        <v>568</v>
      </c>
      <c r="Q58" s="1089"/>
      <c r="R58" s="1089"/>
      <c r="S58" s="1089"/>
      <c r="T58" s="701">
        <v>46134</v>
      </c>
    </row>
    <row r="59" spans="1:20" ht="15" customHeight="1" x14ac:dyDescent="0.2">
      <c r="A59" s="647" t="s">
        <v>567</v>
      </c>
      <c r="B59" s="389"/>
      <c r="C59" s="389"/>
      <c r="D59" s="390"/>
      <c r="E59" s="571" t="s">
        <v>551</v>
      </c>
      <c r="F59" s="571" t="s">
        <v>552</v>
      </c>
      <c r="G59" s="635" t="s">
        <v>553</v>
      </c>
      <c r="H59" s="391" t="s">
        <v>554</v>
      </c>
      <c r="I59" s="392" t="s">
        <v>555</v>
      </c>
      <c r="J59" s="391"/>
      <c r="K59" s="1078">
        <v>21375366</v>
      </c>
      <c r="L59" s="393"/>
      <c r="M59" s="266"/>
      <c r="N59" s="394"/>
      <c r="O59" s="381"/>
      <c r="P59" s="1088" t="s">
        <v>568</v>
      </c>
      <c r="Q59" s="1089"/>
      <c r="R59" s="1089"/>
      <c r="S59" s="1089"/>
      <c r="T59" s="701">
        <v>46134</v>
      </c>
    </row>
    <row r="60" spans="1:20" ht="15" customHeight="1" x14ac:dyDescent="0.2">
      <c r="A60" s="647" t="s">
        <v>567</v>
      </c>
      <c r="B60" s="389"/>
      <c r="C60" s="389"/>
      <c r="D60" s="390"/>
      <c r="E60" s="571" t="s">
        <v>556</v>
      </c>
      <c r="F60" s="571" t="s">
        <v>552</v>
      </c>
      <c r="G60" s="635" t="s">
        <v>553</v>
      </c>
      <c r="H60" s="391" t="s">
        <v>557</v>
      </c>
      <c r="I60" s="392" t="s">
        <v>558</v>
      </c>
      <c r="J60" s="391"/>
      <c r="K60" s="1078">
        <v>21375367</v>
      </c>
      <c r="L60" s="393"/>
      <c r="M60" s="266"/>
      <c r="N60" s="394"/>
      <c r="O60" s="381"/>
      <c r="P60" s="1088" t="s">
        <v>568</v>
      </c>
      <c r="Q60" s="1089"/>
      <c r="R60" s="1089"/>
      <c r="S60" s="1089"/>
      <c r="T60" s="701">
        <v>46142</v>
      </c>
    </row>
    <row r="61" spans="1:20" ht="15" customHeight="1" x14ac:dyDescent="0.2">
      <c r="A61" s="648" t="s">
        <v>47</v>
      </c>
      <c r="B61" s="526"/>
      <c r="C61" s="526"/>
      <c r="D61" s="527"/>
      <c r="E61" s="663" t="s">
        <v>569</v>
      </c>
      <c r="F61" s="662" t="s">
        <v>570</v>
      </c>
      <c r="G61" s="634" t="s">
        <v>571</v>
      </c>
      <c r="H61" s="528" t="s">
        <v>572</v>
      </c>
      <c r="I61" s="633" t="s">
        <v>573</v>
      </c>
      <c r="J61" s="528"/>
      <c r="K61" s="621">
        <v>21346894</v>
      </c>
      <c r="L61" s="531"/>
      <c r="M61" s="532"/>
      <c r="N61" s="533"/>
      <c r="O61" s="533">
        <v>46170</v>
      </c>
      <c r="P61" s="532"/>
      <c r="Q61" s="534"/>
      <c r="R61" s="534"/>
      <c r="S61" s="534"/>
      <c r="T61" s="606">
        <v>45812</v>
      </c>
    </row>
    <row r="62" spans="1:20" x14ac:dyDescent="0.2">
      <c r="A62" s="648" t="s">
        <v>47</v>
      </c>
      <c r="B62" s="526"/>
      <c r="C62" s="526"/>
      <c r="D62" s="527"/>
      <c r="E62" s="663" t="s">
        <v>574</v>
      </c>
      <c r="F62" s="662" t="s">
        <v>570</v>
      </c>
      <c r="G62" s="634" t="s">
        <v>575</v>
      </c>
      <c r="H62" s="528" t="s">
        <v>576</v>
      </c>
      <c r="I62" s="530" t="s">
        <v>577</v>
      </c>
      <c r="J62" s="528"/>
      <c r="K62" s="621">
        <v>21090981</v>
      </c>
      <c r="L62" s="531"/>
      <c r="M62" s="532"/>
      <c r="N62" s="533"/>
      <c r="O62" s="533">
        <v>46170</v>
      </c>
      <c r="P62" s="532"/>
      <c r="Q62" s="534"/>
      <c r="R62" s="534"/>
      <c r="S62" s="534"/>
      <c r="T62" s="606">
        <v>45812</v>
      </c>
    </row>
    <row r="63" spans="1:20" x14ac:dyDescent="0.2">
      <c r="A63" s="648" t="s">
        <v>47</v>
      </c>
      <c r="B63" s="526"/>
      <c r="C63" s="526"/>
      <c r="D63" s="527"/>
      <c r="E63" s="663" t="s">
        <v>574</v>
      </c>
      <c r="F63" s="662" t="s">
        <v>570</v>
      </c>
      <c r="G63" s="634" t="s">
        <v>575</v>
      </c>
      <c r="H63" s="528" t="s">
        <v>576</v>
      </c>
      <c r="I63" s="530" t="s">
        <v>577</v>
      </c>
      <c r="J63" s="528"/>
      <c r="K63" s="621">
        <v>21091135</v>
      </c>
      <c r="L63" s="531"/>
      <c r="M63" s="532"/>
      <c r="N63" s="533"/>
      <c r="O63" s="533">
        <v>46170</v>
      </c>
      <c r="P63" s="532"/>
      <c r="Q63" s="534"/>
      <c r="R63" s="534"/>
      <c r="S63" s="534"/>
      <c r="T63" s="606">
        <v>45812</v>
      </c>
    </row>
    <row r="64" spans="1:20" x14ac:dyDescent="0.2">
      <c r="A64" s="648" t="s">
        <v>47</v>
      </c>
      <c r="B64" s="526"/>
      <c r="C64" s="526"/>
      <c r="D64" s="527"/>
      <c r="E64" s="663" t="s">
        <v>574</v>
      </c>
      <c r="F64" s="662" t="s">
        <v>570</v>
      </c>
      <c r="G64" s="634" t="s">
        <v>575</v>
      </c>
      <c r="H64" s="528" t="s">
        <v>576</v>
      </c>
      <c r="I64" s="530" t="s">
        <v>577</v>
      </c>
      <c r="J64" s="528"/>
      <c r="K64" s="621">
        <v>21090888</v>
      </c>
      <c r="L64" s="531"/>
      <c r="M64" s="532"/>
      <c r="N64" s="533"/>
      <c r="O64" s="533">
        <v>46170</v>
      </c>
      <c r="P64" s="532"/>
      <c r="Q64" s="534"/>
      <c r="R64" s="534"/>
      <c r="S64" s="534"/>
      <c r="T64" s="606">
        <v>45812</v>
      </c>
    </row>
    <row r="65" spans="1:21" x14ac:dyDescent="0.2">
      <c r="A65" s="649" t="s">
        <v>47</v>
      </c>
      <c r="B65" s="550"/>
      <c r="C65" s="550"/>
      <c r="D65" s="551"/>
      <c r="E65" s="664" t="s">
        <v>569</v>
      </c>
      <c r="F65" s="662" t="s">
        <v>570</v>
      </c>
      <c r="G65" s="634" t="s">
        <v>575</v>
      </c>
      <c r="H65" s="529">
        <v>45504</v>
      </c>
      <c r="I65" s="552" t="s">
        <v>578</v>
      </c>
      <c r="J65" s="529"/>
      <c r="K65" s="622">
        <v>21091758</v>
      </c>
      <c r="L65" s="553"/>
      <c r="M65" s="554"/>
      <c r="N65" s="555"/>
      <c r="O65" s="555">
        <v>46198</v>
      </c>
      <c r="P65" s="532"/>
      <c r="Q65" s="534"/>
      <c r="R65" s="534"/>
      <c r="S65" s="534"/>
      <c r="T65" s="606">
        <v>45812</v>
      </c>
    </row>
    <row r="66" spans="1:21" s="1010" customFormat="1" x14ac:dyDescent="0.25">
      <c r="A66" s="997" t="s">
        <v>43</v>
      </c>
      <c r="B66" s="998"/>
      <c r="C66" s="998"/>
      <c r="D66" s="999"/>
      <c r="E66" s="1000" t="s">
        <v>551</v>
      </c>
      <c r="F66" s="1000" t="s">
        <v>552</v>
      </c>
      <c r="G66" s="1001" t="s">
        <v>553</v>
      </c>
      <c r="H66" s="1002" t="s">
        <v>554</v>
      </c>
      <c r="I66" s="1003" t="s">
        <v>555</v>
      </c>
      <c r="J66" s="1002"/>
      <c r="K66" s="1014">
        <v>21133750</v>
      </c>
      <c r="L66" s="1002"/>
      <c r="M66" s="1005"/>
      <c r="N66" s="1005"/>
      <c r="O66" s="1006">
        <v>46447</v>
      </c>
      <c r="P66" s="1007"/>
      <c r="Q66" s="1005"/>
      <c r="R66" s="1005"/>
      <c r="S66" s="1008"/>
      <c r="T66" s="1009">
        <v>45742</v>
      </c>
    </row>
    <row r="67" spans="1:21" s="1010" customFormat="1" x14ac:dyDescent="0.25">
      <c r="A67" s="997" t="s">
        <v>43</v>
      </c>
      <c r="B67" s="998"/>
      <c r="C67" s="998"/>
      <c r="D67" s="999"/>
      <c r="E67" s="1000" t="s">
        <v>551</v>
      </c>
      <c r="F67" s="1000" t="s">
        <v>552</v>
      </c>
      <c r="G67" s="1001" t="s">
        <v>553</v>
      </c>
      <c r="H67" s="1002" t="s">
        <v>554</v>
      </c>
      <c r="I67" s="1003" t="s">
        <v>555</v>
      </c>
      <c r="J67" s="1002"/>
      <c r="K67" s="1004">
        <v>21133749</v>
      </c>
      <c r="L67" s="1002"/>
      <c r="M67" s="1005"/>
      <c r="N67" s="1005"/>
      <c r="O67" s="1011">
        <v>46447</v>
      </c>
      <c r="P67" s="1007"/>
      <c r="Q67" s="1005"/>
      <c r="R67" s="1005"/>
      <c r="S67" s="1008"/>
      <c r="T67" s="1009">
        <v>45742</v>
      </c>
    </row>
    <row r="68" spans="1:21" s="1010" customFormat="1" x14ac:dyDescent="0.25">
      <c r="A68" s="997" t="s">
        <v>43</v>
      </c>
      <c r="B68" s="998"/>
      <c r="C68" s="998"/>
      <c r="D68" s="999"/>
      <c r="E68" s="1000" t="s">
        <v>551</v>
      </c>
      <c r="F68" s="1000" t="s">
        <v>552</v>
      </c>
      <c r="G68" s="1001" t="s">
        <v>553</v>
      </c>
      <c r="H68" s="1002" t="s">
        <v>554</v>
      </c>
      <c r="I68" s="1003" t="s">
        <v>555</v>
      </c>
      <c r="J68" s="1002"/>
      <c r="K68" s="1004">
        <v>21133748</v>
      </c>
      <c r="L68" s="1002"/>
      <c r="M68" s="1005"/>
      <c r="N68" s="1005"/>
      <c r="O68" s="1006">
        <v>46447</v>
      </c>
      <c r="P68" s="1007"/>
      <c r="Q68" s="1005"/>
      <c r="R68" s="1005"/>
      <c r="S68" s="1008"/>
      <c r="T68" s="1009">
        <v>45742</v>
      </c>
    </row>
    <row r="69" spans="1:21" s="1010" customFormat="1" x14ac:dyDescent="0.25">
      <c r="A69" s="997" t="s">
        <v>43</v>
      </c>
      <c r="B69" s="1012"/>
      <c r="C69" s="1012"/>
      <c r="D69" s="1013"/>
      <c r="E69" s="1000" t="s">
        <v>556</v>
      </c>
      <c r="F69" s="1000" t="s">
        <v>552</v>
      </c>
      <c r="G69" s="1001" t="s">
        <v>553</v>
      </c>
      <c r="H69" s="1002" t="s">
        <v>557</v>
      </c>
      <c r="I69" s="1003" t="s">
        <v>558</v>
      </c>
      <c r="J69" s="1002"/>
      <c r="K69" s="1004">
        <v>21199565</v>
      </c>
      <c r="L69" s="1002"/>
      <c r="M69" s="1005"/>
      <c r="N69" s="1005"/>
      <c r="O69" s="1006">
        <v>46447</v>
      </c>
      <c r="P69" s="1007"/>
      <c r="Q69" s="1005"/>
      <c r="R69" s="1005"/>
      <c r="S69" s="1008"/>
      <c r="T69" s="1009">
        <v>45742</v>
      </c>
    </row>
    <row r="70" spans="1:21" x14ac:dyDescent="0.25">
      <c r="A70" s="653"/>
      <c r="B70" s="638"/>
      <c r="C70" s="638"/>
      <c r="D70" s="638"/>
      <c r="E70" s="639"/>
      <c r="F70" s="639"/>
      <c r="G70" s="638"/>
      <c r="H70" s="638"/>
      <c r="I70" s="638"/>
      <c r="J70" s="638"/>
      <c r="K70" s="640"/>
      <c r="L70" s="638"/>
      <c r="M70" s="638"/>
      <c r="N70" s="638"/>
      <c r="O70" s="638"/>
      <c r="P70" s="638"/>
      <c r="Q70" s="638"/>
      <c r="R70" s="638"/>
      <c r="S70" s="638"/>
      <c r="T70" s="637"/>
    </row>
    <row r="71" spans="1:21" x14ac:dyDescent="0.25">
      <c r="A71" s="642" t="s">
        <v>437</v>
      </c>
      <c r="B71" s="378"/>
      <c r="C71" s="378"/>
      <c r="D71" s="29"/>
      <c r="E71" s="243" t="s">
        <v>579</v>
      </c>
      <c r="F71" s="29" t="s">
        <v>580</v>
      </c>
      <c r="G71" s="376" t="s">
        <v>581</v>
      </c>
      <c r="H71" s="376" t="s">
        <v>582</v>
      </c>
      <c r="I71" s="379" t="s">
        <v>583</v>
      </c>
      <c r="J71" s="376"/>
      <c r="K71" s="614">
        <v>21173107</v>
      </c>
      <c r="L71" s="380"/>
      <c r="M71" s="30"/>
      <c r="N71" s="381"/>
      <c r="O71" s="381">
        <v>46309</v>
      </c>
      <c r="P71" s="307"/>
      <c r="Q71" s="30"/>
      <c r="R71" s="30"/>
      <c r="S71" s="103"/>
      <c r="T71" s="433">
        <v>45940</v>
      </c>
    </row>
    <row r="72" spans="1:21" x14ac:dyDescent="0.25">
      <c r="A72" s="642" t="s">
        <v>437</v>
      </c>
      <c r="B72" s="378"/>
      <c r="C72" s="378"/>
      <c r="D72" s="29"/>
      <c r="E72" s="243" t="s">
        <v>528</v>
      </c>
      <c r="F72" s="29" t="s">
        <v>580</v>
      </c>
      <c r="G72" s="573" t="s">
        <v>584</v>
      </c>
      <c r="H72" s="376" t="s">
        <v>585</v>
      </c>
      <c r="I72" s="379" t="s">
        <v>586</v>
      </c>
      <c r="J72" s="376"/>
      <c r="K72" s="614">
        <v>21230639</v>
      </c>
      <c r="L72" s="380"/>
      <c r="M72" s="30"/>
      <c r="N72" s="381"/>
      <c r="O72" s="381">
        <v>46352</v>
      </c>
      <c r="P72" s="307"/>
      <c r="Q72" s="30"/>
      <c r="R72" s="30"/>
      <c r="S72" s="103"/>
      <c r="T72" s="433">
        <v>45940</v>
      </c>
    </row>
    <row r="73" spans="1:21" x14ac:dyDescent="0.25">
      <c r="A73" s="642" t="s">
        <v>435</v>
      </c>
      <c r="B73" s="378"/>
      <c r="C73" s="378"/>
      <c r="D73" s="29"/>
      <c r="E73" s="243" t="s">
        <v>579</v>
      </c>
      <c r="F73" s="29" t="s">
        <v>580</v>
      </c>
      <c r="G73" s="573" t="s">
        <v>584</v>
      </c>
      <c r="H73" s="376" t="s">
        <v>582</v>
      </c>
      <c r="I73" s="485" t="s">
        <v>583</v>
      </c>
      <c r="J73" s="376"/>
      <c r="K73" s="614">
        <v>21352950</v>
      </c>
      <c r="L73" s="380"/>
      <c r="M73" s="30"/>
      <c r="N73" s="381"/>
      <c r="O73" s="381">
        <v>46274</v>
      </c>
      <c r="P73" s="30"/>
      <c r="Q73" s="30"/>
      <c r="R73" s="30"/>
      <c r="S73" s="103"/>
      <c r="T73" s="433">
        <v>45932</v>
      </c>
    </row>
    <row r="74" spans="1:21" x14ac:dyDescent="0.25">
      <c r="A74" s="642" t="s">
        <v>435</v>
      </c>
      <c r="B74" s="378"/>
      <c r="C74" s="378"/>
      <c r="D74" s="29"/>
      <c r="E74" s="243" t="s">
        <v>528</v>
      </c>
      <c r="F74" s="29" t="s">
        <v>580</v>
      </c>
      <c r="G74" s="573" t="s">
        <v>584</v>
      </c>
      <c r="H74" s="376" t="s">
        <v>585</v>
      </c>
      <c r="I74" s="379" t="s">
        <v>586</v>
      </c>
      <c r="J74" s="376"/>
      <c r="K74" s="614">
        <v>21352660</v>
      </c>
      <c r="L74" s="380"/>
      <c r="M74" s="30"/>
      <c r="N74" s="381"/>
      <c r="O74" s="381">
        <v>46274</v>
      </c>
      <c r="P74" s="30"/>
      <c r="Q74" s="30"/>
      <c r="R74" s="30"/>
      <c r="S74" s="103"/>
      <c r="T74" s="433">
        <v>45932</v>
      </c>
    </row>
    <row r="75" spans="1:21" x14ac:dyDescent="0.25">
      <c r="A75" s="642" t="s">
        <v>172</v>
      </c>
      <c r="B75" s="378"/>
      <c r="C75" s="378"/>
      <c r="D75" s="29"/>
      <c r="E75" s="243" t="s">
        <v>528</v>
      </c>
      <c r="F75" s="29" t="s">
        <v>580</v>
      </c>
      <c r="G75" s="573" t="s">
        <v>584</v>
      </c>
      <c r="H75" s="556" t="s">
        <v>585</v>
      </c>
      <c r="I75" s="379" t="s">
        <v>586</v>
      </c>
      <c r="J75" s="376"/>
      <c r="K75" s="614">
        <v>21230638</v>
      </c>
      <c r="L75" s="380"/>
      <c r="M75" s="30"/>
      <c r="N75" s="381"/>
      <c r="O75" s="414">
        <v>46337</v>
      </c>
      <c r="P75" s="559"/>
      <c r="Q75" s="559" t="str">
        <f>IF('Calibrated Items'!$B75="","No","Yes")</f>
        <v>No</v>
      </c>
      <c r="R75" s="559" t="str">
        <f>IF('Calibrated Items'!$C75="","No","Yes")</f>
        <v>No</v>
      </c>
      <c r="S75" s="598"/>
      <c r="T75" s="560">
        <v>45940</v>
      </c>
    </row>
    <row r="76" spans="1:21" x14ac:dyDescent="0.25">
      <c r="A76" s="642" t="s">
        <v>172</v>
      </c>
      <c r="B76" s="378"/>
      <c r="C76" s="378"/>
      <c r="D76" s="29"/>
      <c r="E76" s="243" t="s">
        <v>579</v>
      </c>
      <c r="F76" s="29" t="s">
        <v>580</v>
      </c>
      <c r="G76" s="573" t="s">
        <v>584</v>
      </c>
      <c r="H76" s="376" t="s">
        <v>587</v>
      </c>
      <c r="I76" s="379" t="s">
        <v>588</v>
      </c>
      <c r="J76" s="376"/>
      <c r="K76" s="614">
        <v>21230671</v>
      </c>
      <c r="L76" s="380"/>
      <c r="M76" s="30"/>
      <c r="N76" s="381"/>
      <c r="O76" s="400">
        <v>46309</v>
      </c>
      <c r="P76" s="559"/>
      <c r="Q76" s="559" t="str">
        <f>IF('Calibrated Items'!$B76="","No","Yes")</f>
        <v>No</v>
      </c>
      <c r="R76" s="559" t="str">
        <f>IF('Calibrated Items'!$C76="","No","Yes")</f>
        <v>No</v>
      </c>
      <c r="S76" s="598"/>
      <c r="T76" s="560">
        <v>45940</v>
      </c>
      <c r="U76" s="668"/>
    </row>
    <row r="77" spans="1:21" x14ac:dyDescent="0.25">
      <c r="A77" s="642"/>
      <c r="B77" s="378"/>
      <c r="C77" s="378"/>
      <c r="D77" s="29"/>
      <c r="E77" s="243" t="s">
        <v>579</v>
      </c>
      <c r="F77" s="29" t="s">
        <v>580</v>
      </c>
      <c r="G77" s="573" t="s">
        <v>584</v>
      </c>
      <c r="H77" s="376" t="s">
        <v>582</v>
      </c>
      <c r="I77" s="485" t="s">
        <v>583</v>
      </c>
      <c r="J77" s="567"/>
      <c r="K77" s="624">
        <v>21357217</v>
      </c>
      <c r="L77" s="569"/>
      <c r="M77" s="559"/>
      <c r="N77" s="570"/>
      <c r="O77" s="565">
        <v>45939</v>
      </c>
      <c r="P77" s="559" t="s">
        <v>589</v>
      </c>
      <c r="Q77" s="559"/>
      <c r="R77" s="559"/>
      <c r="S77" s="598"/>
      <c r="T77" s="1119" t="s">
        <v>590</v>
      </c>
    </row>
    <row r="78" spans="1:21" x14ac:dyDescent="0.25">
      <c r="A78" s="642"/>
      <c r="B78" s="378"/>
      <c r="C78" s="378"/>
      <c r="D78" s="29"/>
      <c r="E78" s="243" t="s">
        <v>528</v>
      </c>
      <c r="F78" s="29" t="s">
        <v>580</v>
      </c>
      <c r="G78" s="573" t="s">
        <v>584</v>
      </c>
      <c r="H78" s="376" t="s">
        <v>585</v>
      </c>
      <c r="I78" s="379" t="s">
        <v>586</v>
      </c>
      <c r="J78" s="567"/>
      <c r="K78" s="624">
        <v>21359459</v>
      </c>
      <c r="L78" s="569"/>
      <c r="M78" s="559"/>
      <c r="N78" s="570"/>
      <c r="O78" s="565">
        <v>45932</v>
      </c>
      <c r="P78" s="559" t="s">
        <v>589</v>
      </c>
      <c r="Q78" s="559"/>
      <c r="R78" s="559"/>
      <c r="S78" s="598"/>
      <c r="T78" s="1119" t="s">
        <v>590</v>
      </c>
    </row>
    <row r="79" spans="1:21" ht="64.5" customHeight="1" x14ac:dyDescent="0.25">
      <c r="A79" s="642" t="s">
        <v>431</v>
      </c>
      <c r="B79" s="378"/>
      <c r="C79" s="378"/>
      <c r="D79" s="29"/>
      <c r="E79" s="243" t="s">
        <v>579</v>
      </c>
      <c r="F79" s="29" t="s">
        <v>580</v>
      </c>
      <c r="G79" s="573" t="s">
        <v>584</v>
      </c>
      <c r="H79" s="561" t="s">
        <v>591</v>
      </c>
      <c r="I79" s="562" t="s">
        <v>592</v>
      </c>
      <c r="J79" s="561"/>
      <c r="K79" s="623">
        <v>21133926</v>
      </c>
      <c r="L79" s="563"/>
      <c r="M79" s="564"/>
      <c r="N79" s="565">
        <v>43721</v>
      </c>
      <c r="O79" s="565">
        <v>46337</v>
      </c>
      <c r="P79" s="559"/>
      <c r="Q79" s="564" t="str">
        <f>IF('Calibrated Items'!$B79="","No","Yes")</f>
        <v>No</v>
      </c>
      <c r="R79" s="564" t="str">
        <f>IF('Calibrated Items'!$C79="","No","Yes")</f>
        <v>No</v>
      </c>
      <c r="S79" s="599"/>
      <c r="T79" s="566">
        <v>45540</v>
      </c>
    </row>
    <row r="80" spans="1:21" x14ac:dyDescent="0.25">
      <c r="A80" s="642" t="s">
        <v>431</v>
      </c>
      <c r="B80" s="378"/>
      <c r="C80" s="378"/>
      <c r="D80" s="29"/>
      <c r="E80" s="243" t="s">
        <v>528</v>
      </c>
      <c r="F80" s="29" t="s">
        <v>580</v>
      </c>
      <c r="G80" s="573" t="s">
        <v>584</v>
      </c>
      <c r="H80" s="567" t="s">
        <v>593</v>
      </c>
      <c r="I80" s="568" t="s">
        <v>594</v>
      </c>
      <c r="J80" s="567"/>
      <c r="K80" s="624">
        <v>21133925</v>
      </c>
      <c r="L80" s="569"/>
      <c r="M80" s="559"/>
      <c r="N80" s="570"/>
      <c r="O80" s="565">
        <v>46337</v>
      </c>
      <c r="P80" s="559"/>
      <c r="Q80" s="559" t="str">
        <f>IF('Calibrated Items'!$B80="","No","Yes")</f>
        <v>No</v>
      </c>
      <c r="R80" s="559" t="str">
        <f>IF('Calibrated Items'!$C80="","No","Yes")</f>
        <v>No</v>
      </c>
      <c r="S80" s="598"/>
      <c r="T80" s="566">
        <v>45540</v>
      </c>
    </row>
    <row r="81" spans="1:20" ht="51" x14ac:dyDescent="0.2">
      <c r="A81" s="646" t="s">
        <v>595</v>
      </c>
      <c r="B81" s="382"/>
      <c r="C81" s="382"/>
      <c r="D81" s="383"/>
      <c r="E81" s="590" t="s">
        <v>521</v>
      </c>
      <c r="F81" s="590" t="s">
        <v>552</v>
      </c>
      <c r="G81" s="443" t="s">
        <v>530</v>
      </c>
      <c r="H81" s="443" t="s">
        <v>561</v>
      </c>
      <c r="I81" s="632" t="s">
        <v>562</v>
      </c>
      <c r="J81" s="384"/>
      <c r="K81" s="619">
        <v>21173492</v>
      </c>
      <c r="L81" s="386"/>
      <c r="M81" s="387"/>
      <c r="N81" s="388"/>
      <c r="O81" s="585">
        <v>45884</v>
      </c>
      <c r="P81" s="750" t="s">
        <v>596</v>
      </c>
      <c r="Q81" s="387"/>
      <c r="R81" s="387"/>
      <c r="S81" s="596"/>
      <c r="T81" s="700">
        <v>45750</v>
      </c>
    </row>
    <row r="82" spans="1:20" ht="51" x14ac:dyDescent="0.2">
      <c r="A82" s="646" t="s">
        <v>595</v>
      </c>
      <c r="B82" s="382"/>
      <c r="C82" s="382"/>
      <c r="D82" s="383"/>
      <c r="E82" s="590" t="s">
        <v>556</v>
      </c>
      <c r="F82" s="590" t="s">
        <v>552</v>
      </c>
      <c r="G82" s="443" t="s">
        <v>564</v>
      </c>
      <c r="H82" s="443" t="s">
        <v>565</v>
      </c>
      <c r="I82" s="385" t="s">
        <v>566</v>
      </c>
      <c r="J82" s="443"/>
      <c r="K82" s="619">
        <v>21173493</v>
      </c>
      <c r="L82" s="386"/>
      <c r="M82" s="387"/>
      <c r="N82" s="388"/>
      <c r="O82" s="585">
        <v>45841</v>
      </c>
      <c r="P82" s="750" t="s">
        <v>596</v>
      </c>
      <c r="Q82" s="387"/>
      <c r="R82" s="387"/>
      <c r="S82" s="596"/>
      <c r="T82" s="700">
        <v>45750</v>
      </c>
    </row>
    <row r="83" spans="1:20" ht="51" x14ac:dyDescent="0.2">
      <c r="A83" s="646" t="s">
        <v>595</v>
      </c>
      <c r="B83" s="382"/>
      <c r="C83" s="382"/>
      <c r="D83" s="383"/>
      <c r="E83" s="590" t="s">
        <v>521</v>
      </c>
      <c r="F83" s="590" t="s">
        <v>552</v>
      </c>
      <c r="G83" s="443" t="s">
        <v>597</v>
      </c>
      <c r="H83" s="443" t="s">
        <v>598</v>
      </c>
      <c r="I83" s="632" t="s">
        <v>599</v>
      </c>
      <c r="J83" s="384"/>
      <c r="K83" s="619">
        <v>21148939</v>
      </c>
      <c r="L83" s="386"/>
      <c r="M83" s="387"/>
      <c r="N83" s="388"/>
      <c r="O83" s="388">
        <v>45856</v>
      </c>
      <c r="P83" s="750" t="s">
        <v>596</v>
      </c>
      <c r="Q83" s="387"/>
      <c r="R83" s="387"/>
      <c r="S83" s="596"/>
      <c r="T83" s="700">
        <v>45750</v>
      </c>
    </row>
    <row r="84" spans="1:20" ht="51" x14ac:dyDescent="0.2">
      <c r="A84" s="646" t="s">
        <v>595</v>
      </c>
      <c r="B84" s="382"/>
      <c r="C84" s="382"/>
      <c r="D84" s="383"/>
      <c r="E84" s="590" t="s">
        <v>521</v>
      </c>
      <c r="F84" s="590" t="s">
        <v>552</v>
      </c>
      <c r="G84" s="443" t="s">
        <v>597</v>
      </c>
      <c r="H84" s="443" t="s">
        <v>598</v>
      </c>
      <c r="I84" s="385" t="s">
        <v>599</v>
      </c>
      <c r="J84" s="384"/>
      <c r="K84" s="619">
        <v>21101782</v>
      </c>
      <c r="L84" s="386"/>
      <c r="M84" s="387"/>
      <c r="N84" s="388"/>
      <c r="O84" s="388">
        <v>45834</v>
      </c>
      <c r="P84" s="750" t="s">
        <v>596</v>
      </c>
      <c r="Q84" s="387"/>
      <c r="R84" s="387"/>
      <c r="S84" s="596"/>
      <c r="T84" s="700">
        <v>45750</v>
      </c>
    </row>
    <row r="87" spans="1:20" ht="70.5" x14ac:dyDescent="1.05">
      <c r="A87" s="1553" t="s">
        <v>600</v>
      </c>
      <c r="B87" s="1554"/>
      <c r="C87" s="1554"/>
      <c r="D87" s="1554"/>
      <c r="E87" s="1554"/>
      <c r="F87" s="1554"/>
      <c r="G87" s="1554"/>
      <c r="H87" s="1554"/>
      <c r="I87" s="1554"/>
      <c r="J87" s="1554"/>
      <c r="K87" s="1554"/>
      <c r="L87" s="1554"/>
      <c r="M87" s="1554"/>
      <c r="N87" s="1554"/>
      <c r="O87" s="1554"/>
      <c r="P87" s="1554"/>
      <c r="Q87" s="1554"/>
      <c r="R87" s="1554"/>
      <c r="S87" s="1554"/>
      <c r="T87" s="1555"/>
    </row>
    <row r="88" spans="1:20" x14ac:dyDescent="0.25">
      <c r="A88" s="642" t="s">
        <v>601</v>
      </c>
      <c r="B88" s="378"/>
      <c r="C88" s="378"/>
      <c r="D88" s="29"/>
      <c r="E88" s="29" t="s">
        <v>602</v>
      </c>
      <c r="F88" s="29" t="s">
        <v>603</v>
      </c>
      <c r="G88" s="460" t="s">
        <v>604</v>
      </c>
      <c r="H88" s="376" t="s">
        <v>554</v>
      </c>
      <c r="I88" s="379" t="s">
        <v>555</v>
      </c>
      <c r="J88" s="376"/>
      <c r="K88" s="614"/>
      <c r="L88" s="380"/>
      <c r="M88" s="30"/>
      <c r="N88" s="381"/>
      <c r="O88" s="381"/>
      <c r="P88" s="30"/>
      <c r="Q88" s="30"/>
      <c r="R88" s="30"/>
      <c r="S88" s="103"/>
      <c r="T88" s="433"/>
    </row>
    <row r="89" spans="1:20" x14ac:dyDescent="0.25">
      <c r="A89" s="642"/>
      <c r="B89" s="378"/>
      <c r="C89" s="378"/>
      <c r="D89" s="29"/>
      <c r="E89" s="29" t="s">
        <v>556</v>
      </c>
      <c r="F89" s="29"/>
      <c r="G89" s="376"/>
      <c r="H89" s="376"/>
      <c r="I89" s="379"/>
      <c r="J89" s="126"/>
      <c r="K89" s="614">
        <v>21175635</v>
      </c>
      <c r="L89" s="380"/>
      <c r="M89" s="30"/>
      <c r="N89" s="381"/>
      <c r="O89" s="381">
        <v>44971</v>
      </c>
      <c r="P89" s="30" t="s">
        <v>605</v>
      </c>
      <c r="Q89" s="30"/>
      <c r="R89" s="30"/>
      <c r="S89" s="103"/>
      <c r="T89" s="433">
        <v>45321</v>
      </c>
    </row>
    <row r="90" spans="1:20" x14ac:dyDescent="0.25">
      <c r="A90" s="642"/>
      <c r="B90" s="378"/>
      <c r="C90" s="378"/>
      <c r="D90" s="29"/>
      <c r="P90" s="307"/>
      <c r="Q90" s="30"/>
      <c r="R90" s="30"/>
      <c r="S90" s="103"/>
      <c r="T90" s="433">
        <v>45372</v>
      </c>
    </row>
    <row r="91" spans="1:20" x14ac:dyDescent="0.25">
      <c r="A91" s="642"/>
      <c r="B91" s="378"/>
      <c r="C91" s="378"/>
      <c r="D91" s="29"/>
      <c r="E91" s="243" t="s">
        <v>606</v>
      </c>
      <c r="F91" s="29"/>
      <c r="G91" s="376"/>
      <c r="H91" s="376"/>
      <c r="I91" s="379" t="s">
        <v>78</v>
      </c>
      <c r="J91" s="126"/>
      <c r="K91" s="614">
        <v>21174816</v>
      </c>
      <c r="L91" s="380"/>
      <c r="M91" s="30"/>
      <c r="N91" s="381"/>
      <c r="O91" s="381">
        <v>45575</v>
      </c>
      <c r="P91" s="307"/>
      <c r="Q91" s="30"/>
      <c r="R91" s="30"/>
      <c r="S91" s="103"/>
      <c r="T91" s="433">
        <v>45175</v>
      </c>
    </row>
    <row r="92" spans="1:20" x14ac:dyDescent="0.25">
      <c r="A92" s="642"/>
      <c r="B92" s="378"/>
      <c r="C92" s="378"/>
      <c r="D92" s="29"/>
      <c r="E92" s="29" t="s">
        <v>602</v>
      </c>
      <c r="F92" s="29" t="s">
        <v>603</v>
      </c>
      <c r="G92" s="460" t="s">
        <v>604</v>
      </c>
      <c r="H92" s="376" t="s">
        <v>554</v>
      </c>
      <c r="I92" s="379" t="s">
        <v>555</v>
      </c>
      <c r="J92" s="376"/>
      <c r="K92" s="614"/>
      <c r="L92" s="380"/>
      <c r="M92" s="30"/>
      <c r="N92" s="381"/>
      <c r="O92" s="381"/>
      <c r="P92" s="30"/>
      <c r="T92" s="433">
        <v>45337</v>
      </c>
    </row>
    <row r="93" spans="1:20" x14ac:dyDescent="0.25">
      <c r="A93" s="642"/>
      <c r="B93" s="378"/>
      <c r="C93" s="378"/>
      <c r="D93" s="29"/>
      <c r="E93" s="29" t="s">
        <v>556</v>
      </c>
      <c r="F93" s="29" t="s">
        <v>603</v>
      </c>
      <c r="G93" s="460" t="s">
        <v>604</v>
      </c>
      <c r="H93" s="376" t="s">
        <v>557</v>
      </c>
      <c r="I93" s="379" t="s">
        <v>607</v>
      </c>
      <c r="P93" s="30"/>
      <c r="T93" s="433">
        <v>45337</v>
      </c>
    </row>
    <row r="94" spans="1:20" x14ac:dyDescent="0.25">
      <c r="A94" s="642"/>
      <c r="B94" s="378"/>
      <c r="C94" s="378"/>
      <c r="D94" s="29"/>
      <c r="E94" s="29" t="s">
        <v>602</v>
      </c>
      <c r="F94" s="29" t="s">
        <v>603</v>
      </c>
      <c r="G94" s="460" t="s">
        <v>604</v>
      </c>
      <c r="H94" s="376" t="s">
        <v>554</v>
      </c>
      <c r="I94" s="379" t="s">
        <v>555</v>
      </c>
      <c r="J94" s="376"/>
      <c r="K94" s="614"/>
      <c r="L94" s="380"/>
      <c r="M94" s="30"/>
      <c r="N94" s="381"/>
      <c r="O94" s="381"/>
      <c r="P94" s="30"/>
      <c r="T94" s="433">
        <v>45337</v>
      </c>
    </row>
    <row r="95" spans="1:20" x14ac:dyDescent="0.25">
      <c r="A95" s="642"/>
      <c r="B95" s="378"/>
      <c r="C95" s="378"/>
      <c r="D95" s="29"/>
      <c r="E95" s="29" t="s">
        <v>602</v>
      </c>
      <c r="F95" s="29" t="s">
        <v>603</v>
      </c>
      <c r="G95" s="460" t="s">
        <v>604</v>
      </c>
      <c r="H95" s="376" t="s">
        <v>554</v>
      </c>
      <c r="I95" s="379" t="s">
        <v>555</v>
      </c>
      <c r="J95" s="376"/>
      <c r="K95" s="614">
        <v>21311483</v>
      </c>
      <c r="L95" s="380"/>
      <c r="M95" s="30"/>
      <c r="N95" s="381"/>
      <c r="O95" s="381">
        <v>46339</v>
      </c>
      <c r="P95" s="441" t="s">
        <v>541</v>
      </c>
      <c r="Q95" s="213"/>
      <c r="R95" s="213"/>
      <c r="S95" s="594"/>
      <c r="T95" s="405">
        <v>45985</v>
      </c>
    </row>
    <row r="96" spans="1:20" x14ac:dyDescent="0.25">
      <c r="A96" s="642"/>
      <c r="B96" s="378"/>
      <c r="C96" s="378"/>
      <c r="D96" s="29"/>
      <c r="E96" s="29" t="s">
        <v>602</v>
      </c>
      <c r="F96" s="29" t="s">
        <v>603</v>
      </c>
      <c r="G96" s="460" t="s">
        <v>604</v>
      </c>
      <c r="H96" s="376" t="s">
        <v>554</v>
      </c>
      <c r="I96" s="379" t="s">
        <v>555</v>
      </c>
      <c r="O96" s="381"/>
      <c r="P96" s="30"/>
      <c r="Q96" s="30"/>
      <c r="R96" s="30"/>
      <c r="S96" s="103"/>
      <c r="T96" s="433">
        <v>45337</v>
      </c>
    </row>
    <row r="97" spans="1:20" x14ac:dyDescent="0.25">
      <c r="A97" s="642"/>
      <c r="B97" s="378"/>
      <c r="C97" s="378"/>
      <c r="D97" s="29"/>
      <c r="E97" s="572" t="s">
        <v>521</v>
      </c>
      <c r="F97" s="572" t="s">
        <v>603</v>
      </c>
      <c r="G97" s="486"/>
      <c r="H97" s="486"/>
      <c r="I97" s="487" t="s">
        <v>599</v>
      </c>
      <c r="J97" s="488"/>
      <c r="K97" s="625"/>
      <c r="L97" s="489"/>
      <c r="M97" s="256"/>
      <c r="N97" s="490"/>
      <c r="O97" s="490"/>
      <c r="P97" s="30"/>
      <c r="Q97" s="256"/>
      <c r="R97" s="256"/>
      <c r="S97" s="600"/>
      <c r="T97" s="433">
        <v>45322</v>
      </c>
    </row>
    <row r="98" spans="1:20" x14ac:dyDescent="0.25">
      <c r="A98" s="642"/>
      <c r="B98" s="378"/>
      <c r="C98" s="378"/>
      <c r="D98" s="29"/>
      <c r="E98" s="29" t="s">
        <v>521</v>
      </c>
      <c r="F98" s="29" t="s">
        <v>603</v>
      </c>
      <c r="G98" s="376"/>
      <c r="H98" s="376"/>
      <c r="I98" s="379" t="s">
        <v>599</v>
      </c>
      <c r="J98" s="376"/>
      <c r="K98" s="614"/>
      <c r="L98" s="380"/>
      <c r="M98" s="30"/>
      <c r="N98" s="381"/>
      <c r="O98" s="381"/>
      <c r="P98" s="30"/>
      <c r="Q98" s="30"/>
      <c r="R98" s="30"/>
      <c r="S98" s="103"/>
      <c r="T98" s="433"/>
    </row>
    <row r="99" spans="1:20" x14ac:dyDescent="0.25">
      <c r="A99" s="642"/>
      <c r="B99" s="378"/>
      <c r="C99" s="378"/>
      <c r="D99" s="29"/>
      <c r="E99" s="29" t="s">
        <v>521</v>
      </c>
      <c r="F99" s="29" t="s">
        <v>603</v>
      </c>
      <c r="G99" s="376"/>
      <c r="H99" s="376"/>
      <c r="I99" s="379" t="s">
        <v>599</v>
      </c>
      <c r="J99" s="126"/>
      <c r="K99" s="614">
        <v>21148502</v>
      </c>
      <c r="L99" s="380"/>
      <c r="M99" s="30"/>
      <c r="N99" s="381"/>
      <c r="O99" s="381">
        <v>46128</v>
      </c>
      <c r="P99" s="224"/>
      <c r="Q99" s="30"/>
      <c r="R99" s="30"/>
      <c r="S99" s="103"/>
      <c r="T99" s="433">
        <v>45715</v>
      </c>
    </row>
    <row r="100" spans="1:20" x14ac:dyDescent="0.25">
      <c r="A100" s="642"/>
      <c r="B100" s="378"/>
      <c r="C100" s="378"/>
      <c r="D100" s="29"/>
      <c r="P100" s="30"/>
      <c r="Q100" s="30"/>
      <c r="R100" s="30"/>
      <c r="S100" s="103"/>
      <c r="T100" s="433">
        <v>45322</v>
      </c>
    </row>
    <row r="101" spans="1:20" ht="15.75" customHeight="1" x14ac:dyDescent="0.25">
      <c r="A101" s="659"/>
      <c r="B101" s="30"/>
      <c r="C101" s="30"/>
      <c r="D101" s="30"/>
      <c r="E101" s="29"/>
      <c r="F101" s="29"/>
      <c r="G101" s="376" t="s">
        <v>608</v>
      </c>
      <c r="H101" s="30"/>
      <c r="I101" s="485" t="s">
        <v>562</v>
      </c>
      <c r="J101" s="30"/>
      <c r="K101" s="614">
        <v>21207868</v>
      </c>
      <c r="L101" s="30"/>
      <c r="M101" s="30"/>
      <c r="N101" s="30"/>
      <c r="O101" s="381">
        <v>45479</v>
      </c>
      <c r="P101" s="307" t="s">
        <v>609</v>
      </c>
      <c r="Q101" s="30"/>
      <c r="R101" s="30"/>
      <c r="S101" s="103"/>
      <c r="T101" s="433">
        <v>45126</v>
      </c>
    </row>
    <row r="102" spans="1:20" hidden="1" x14ac:dyDescent="0.25">
      <c r="A102" s="659"/>
      <c r="B102" s="30"/>
      <c r="C102" s="30"/>
      <c r="D102" s="30"/>
      <c r="E102" s="29" t="s">
        <v>610</v>
      </c>
      <c r="F102" s="29"/>
      <c r="G102" s="376" t="s">
        <v>611</v>
      </c>
      <c r="H102" s="30"/>
      <c r="I102" s="30"/>
      <c r="J102" s="30"/>
      <c r="K102" s="614">
        <v>21180477</v>
      </c>
      <c r="L102" s="30"/>
      <c r="M102" s="30"/>
      <c r="N102" s="30"/>
      <c r="O102" s="30"/>
      <c r="P102" s="30" t="s">
        <v>612</v>
      </c>
      <c r="Q102" s="30"/>
      <c r="R102" s="30"/>
      <c r="S102" s="103"/>
    </row>
    <row r="103" spans="1:20" hidden="1" x14ac:dyDescent="0.25">
      <c r="A103" s="659"/>
      <c r="B103" s="30"/>
      <c r="C103" s="30"/>
      <c r="D103" s="30"/>
      <c r="E103" s="29" t="s">
        <v>610</v>
      </c>
      <c r="F103" s="29"/>
      <c r="G103" s="376" t="s">
        <v>536</v>
      </c>
      <c r="H103" s="30"/>
      <c r="I103" s="30"/>
      <c r="J103" s="30"/>
      <c r="K103" s="614">
        <v>21173425</v>
      </c>
      <c r="L103" s="30"/>
      <c r="M103" s="30"/>
      <c r="N103" s="30"/>
      <c r="O103" s="30"/>
      <c r="P103" s="30" t="s">
        <v>612</v>
      </c>
      <c r="Q103" s="30"/>
      <c r="R103" s="30"/>
      <c r="S103" s="103"/>
    </row>
    <row r="104" spans="1:20" hidden="1" x14ac:dyDescent="0.25">
      <c r="A104" s="642" t="s">
        <v>613</v>
      </c>
      <c r="E104" s="591" t="s">
        <v>613</v>
      </c>
      <c r="F104" s="378" t="s">
        <v>614</v>
      </c>
      <c r="G104" s="378"/>
      <c r="H104" s="29"/>
      <c r="I104" s="376" t="s">
        <v>528</v>
      </c>
      <c r="J104" s="204"/>
      <c r="K104" s="204" t="s">
        <v>608</v>
      </c>
      <c r="L104" s="407"/>
      <c r="M104" s="408"/>
      <c r="N104" s="380"/>
      <c r="O104" s="381"/>
      <c r="P104" s="307"/>
      <c r="Q104" s="30"/>
      <c r="R104" s="30"/>
      <c r="S104" s="103"/>
      <c r="T104" s="433">
        <v>45499</v>
      </c>
    </row>
    <row r="105" spans="1:20" ht="24.75" customHeight="1" x14ac:dyDescent="0.25">
      <c r="A105" s="642"/>
      <c r="E105" s="29" t="s">
        <v>610</v>
      </c>
      <c r="F105" s="321" t="s">
        <v>615</v>
      </c>
      <c r="G105" s="376" t="s">
        <v>616</v>
      </c>
      <c r="H105" s="376" t="s">
        <v>617</v>
      </c>
      <c r="I105" s="485" t="s">
        <v>618</v>
      </c>
      <c r="J105" s="376"/>
      <c r="K105" s="614">
        <v>21103590</v>
      </c>
      <c r="L105" s="380"/>
      <c r="M105" s="30"/>
      <c r="N105" s="381"/>
      <c r="O105" s="414">
        <v>44980</v>
      </c>
      <c r="P105" s="200" t="s">
        <v>619</v>
      </c>
      <c r="T105" s="433">
        <v>45372</v>
      </c>
    </row>
    <row r="106" spans="1:20" ht="18.75" customHeight="1" x14ac:dyDescent="0.25">
      <c r="A106" s="650" t="s">
        <v>613</v>
      </c>
      <c r="B106" s="491"/>
      <c r="C106" s="492"/>
      <c r="D106" s="493"/>
      <c r="E106" s="592" t="s">
        <v>548</v>
      </c>
      <c r="F106" s="495"/>
      <c r="G106" s="494" t="s">
        <v>536</v>
      </c>
      <c r="H106" s="496" t="s">
        <v>537</v>
      </c>
      <c r="I106" s="497" t="s">
        <v>538</v>
      </c>
      <c r="J106" s="496"/>
      <c r="K106" s="626">
        <v>21138575</v>
      </c>
      <c r="L106" s="498"/>
      <c r="M106" s="499"/>
      <c r="N106" s="500"/>
      <c r="O106" s="500"/>
      <c r="P106" s="501" t="s">
        <v>620</v>
      </c>
    </row>
    <row r="107" spans="1:20" ht="19.5" customHeight="1" x14ac:dyDescent="0.25">
      <c r="A107" s="650" t="s">
        <v>613</v>
      </c>
      <c r="B107" s="499"/>
      <c r="C107" s="492"/>
      <c r="D107" s="493"/>
      <c r="E107" s="592" t="s">
        <v>548</v>
      </c>
      <c r="F107" s="495"/>
      <c r="G107" s="494" t="s">
        <v>536</v>
      </c>
      <c r="H107" s="496" t="s">
        <v>537</v>
      </c>
      <c r="I107" s="502" t="s">
        <v>538</v>
      </c>
      <c r="J107" s="496"/>
      <c r="K107" s="626">
        <v>21138571</v>
      </c>
      <c r="L107" s="498"/>
      <c r="M107" s="499"/>
      <c r="N107" s="500"/>
      <c r="O107" s="500"/>
      <c r="P107" s="501" t="s">
        <v>620</v>
      </c>
    </row>
    <row r="108" spans="1:20" ht="15.75" x14ac:dyDescent="0.25">
      <c r="A108" s="650" t="s">
        <v>613</v>
      </c>
      <c r="B108" s="491"/>
      <c r="C108" s="492"/>
      <c r="D108" s="493"/>
      <c r="E108" s="592" t="s">
        <v>548</v>
      </c>
      <c r="F108" s="495"/>
      <c r="G108" s="494" t="s">
        <v>536</v>
      </c>
      <c r="H108" s="496" t="s">
        <v>537</v>
      </c>
      <c r="I108" s="502" t="s">
        <v>538</v>
      </c>
      <c r="J108" s="494"/>
      <c r="K108" s="626" t="s">
        <v>621</v>
      </c>
      <c r="L108" s="503"/>
      <c r="M108" s="499"/>
      <c r="N108" s="500"/>
      <c r="O108" s="500"/>
      <c r="P108" s="504" t="s">
        <v>622</v>
      </c>
    </row>
    <row r="109" spans="1:20" ht="15.75" x14ac:dyDescent="0.25">
      <c r="A109" s="650" t="s">
        <v>613</v>
      </c>
      <c r="B109" s="491"/>
      <c r="C109" s="492"/>
      <c r="D109" s="493"/>
      <c r="E109" s="592" t="s">
        <v>548</v>
      </c>
      <c r="F109" s="495"/>
      <c r="G109" s="505" t="s">
        <v>623</v>
      </c>
      <c r="H109" s="496" t="s">
        <v>537</v>
      </c>
      <c r="I109" s="502" t="s">
        <v>538</v>
      </c>
      <c r="J109" s="494"/>
      <c r="K109" s="626">
        <v>21133305</v>
      </c>
      <c r="L109" s="503"/>
      <c r="M109" s="499"/>
      <c r="N109" s="500"/>
      <c r="O109" s="500"/>
      <c r="P109" s="504" t="s">
        <v>622</v>
      </c>
    </row>
    <row r="110" spans="1:20" ht="15.75" x14ac:dyDescent="0.25">
      <c r="A110" s="650" t="s">
        <v>613</v>
      </c>
      <c r="B110" s="491"/>
      <c r="C110" s="492"/>
      <c r="D110" s="493"/>
      <c r="E110" s="592" t="s">
        <v>548</v>
      </c>
      <c r="F110" s="495"/>
      <c r="G110" s="494" t="s">
        <v>536</v>
      </c>
      <c r="H110" s="496" t="s">
        <v>537</v>
      </c>
      <c r="I110" s="502" t="s">
        <v>538</v>
      </c>
      <c r="J110" s="494"/>
      <c r="K110" s="626">
        <v>21133306</v>
      </c>
      <c r="L110" s="503"/>
      <c r="M110" s="499"/>
      <c r="N110" s="500"/>
      <c r="O110" s="500"/>
      <c r="P110" s="504" t="s">
        <v>622</v>
      </c>
    </row>
    <row r="111" spans="1:20" x14ac:dyDescent="0.25">
      <c r="A111" s="660"/>
      <c r="B111" s="507"/>
      <c r="C111" s="507"/>
      <c r="D111" s="508"/>
      <c r="E111" s="508" t="s">
        <v>624</v>
      </c>
      <c r="F111" s="508"/>
      <c r="G111" s="506"/>
      <c r="H111" s="506"/>
      <c r="I111" s="509"/>
      <c r="J111" s="506"/>
      <c r="K111" s="627">
        <v>21230552</v>
      </c>
      <c r="L111" s="510"/>
      <c r="M111" s="511"/>
      <c r="N111" s="512"/>
      <c r="O111" s="512"/>
      <c r="P111" s="511" t="s">
        <v>625</v>
      </c>
      <c r="Q111" s="445"/>
      <c r="R111" s="445"/>
      <c r="S111" s="601"/>
      <c r="T111" s="446">
        <v>45141</v>
      </c>
    </row>
    <row r="112" spans="1:20" x14ac:dyDescent="0.25">
      <c r="I112" s="385" t="s">
        <v>566</v>
      </c>
      <c r="J112" s="443"/>
      <c r="K112" s="619">
        <v>21230553</v>
      </c>
      <c r="L112" s="386"/>
      <c r="M112" s="387"/>
      <c r="N112" s="388"/>
      <c r="O112" s="388">
        <v>45500</v>
      </c>
      <c r="P112" s="535" t="s">
        <v>626</v>
      </c>
    </row>
    <row r="113" spans="1:20" x14ac:dyDescent="0.25">
      <c r="A113" s="651" t="s">
        <v>613</v>
      </c>
      <c r="B113" s="395"/>
      <c r="C113" s="395"/>
      <c r="D113" s="396"/>
      <c r="E113" s="396" t="s">
        <v>627</v>
      </c>
      <c r="F113" s="396"/>
      <c r="G113" s="397"/>
      <c r="H113" s="397" t="s">
        <v>531</v>
      </c>
      <c r="I113" s="586" t="s">
        <v>532</v>
      </c>
      <c r="J113" s="397"/>
      <c r="K113" s="628">
        <v>21149472</v>
      </c>
      <c r="L113" s="398"/>
      <c r="M113" s="399"/>
      <c r="N113" s="400"/>
      <c r="O113" s="400">
        <v>44133</v>
      </c>
      <c r="P113" s="399"/>
      <c r="Q113" s="399" t="str">
        <f>IF('Calibrated Items'!$B113="","No","Yes")</f>
        <v>No</v>
      </c>
      <c r="R113" s="399" t="str">
        <f>IF('Calibrated Items'!$C113="","No","Yes")</f>
        <v>No</v>
      </c>
      <c r="S113" s="602"/>
      <c r="T113" s="399"/>
    </row>
    <row r="114" spans="1:20" x14ac:dyDescent="0.25">
      <c r="A114" s="652" t="s">
        <v>613</v>
      </c>
      <c r="B114" s="389"/>
      <c r="C114" s="389"/>
      <c r="D114" s="390"/>
      <c r="E114" s="390" t="s">
        <v>627</v>
      </c>
      <c r="F114" s="390" t="s">
        <v>628</v>
      </c>
      <c r="G114" s="391"/>
      <c r="H114" s="391"/>
      <c r="I114" s="392" t="s">
        <v>629</v>
      </c>
      <c r="J114" s="391"/>
      <c r="K114" s="620">
        <v>21103636</v>
      </c>
      <c r="L114" s="393"/>
      <c r="M114" s="266"/>
      <c r="N114" s="394"/>
      <c r="O114" s="394">
        <v>43631</v>
      </c>
      <c r="P114" s="266"/>
      <c r="Q114" s="266" t="str">
        <f>IF('Calibrated Items'!$B114="","No","Yes")</f>
        <v>No</v>
      </c>
      <c r="R114" s="266" t="str">
        <f>IF('Calibrated Items'!$C114="","No","Yes")</f>
        <v>No</v>
      </c>
      <c r="S114" s="603"/>
      <c r="T114" s="266"/>
    </row>
    <row r="115" spans="1:20" x14ac:dyDescent="0.25">
      <c r="A115" s="642" t="s">
        <v>613</v>
      </c>
      <c r="B115" s="378"/>
      <c r="C115" s="378"/>
      <c r="D115" s="29"/>
      <c r="E115" s="29" t="s">
        <v>528</v>
      </c>
      <c r="F115" s="29" t="s">
        <v>630</v>
      </c>
      <c r="G115" s="376"/>
      <c r="H115" s="376" t="s">
        <v>531</v>
      </c>
      <c r="I115" s="379" t="s">
        <v>532</v>
      </c>
      <c r="J115" s="376"/>
      <c r="K115" s="614">
        <v>21101062</v>
      </c>
      <c r="L115" s="380"/>
      <c r="M115" s="30"/>
      <c r="N115" s="381"/>
      <c r="O115" s="381">
        <v>44253</v>
      </c>
      <c r="P115" s="30"/>
      <c r="Q115" s="30" t="str">
        <f>IF('Calibrated Items'!$B115="","No","Yes")</f>
        <v>No</v>
      </c>
      <c r="R115" s="30" t="str">
        <f>IF('Calibrated Items'!$C115="","No","Yes")</f>
        <v>No</v>
      </c>
      <c r="S115" s="103"/>
    </row>
    <row r="116" spans="1:20" x14ac:dyDescent="0.25">
      <c r="A116" s="642" t="s">
        <v>613</v>
      </c>
      <c r="B116" s="378"/>
      <c r="C116" s="378"/>
      <c r="D116" s="29"/>
      <c r="E116" s="29" t="s">
        <v>528</v>
      </c>
      <c r="F116" s="29" t="s">
        <v>630</v>
      </c>
      <c r="G116" s="376" t="s">
        <v>530</v>
      </c>
      <c r="H116" s="376" t="s">
        <v>531</v>
      </c>
      <c r="I116" s="379" t="s">
        <v>532</v>
      </c>
      <c r="J116" s="376"/>
      <c r="K116" s="614"/>
      <c r="L116" s="380"/>
      <c r="M116" s="30"/>
      <c r="N116" s="381"/>
      <c r="O116" s="381"/>
      <c r="P116" s="30" t="s">
        <v>631</v>
      </c>
      <c r="Q116" s="30" t="str">
        <f>IF('Calibrated Items'!$B116="","No","Yes")</f>
        <v>No</v>
      </c>
      <c r="R116" s="30" t="str">
        <f>IF('Calibrated Items'!$C116="","No","Yes")</f>
        <v>No</v>
      </c>
      <c r="S116" s="103"/>
      <c r="T116" s="433">
        <v>44634</v>
      </c>
    </row>
    <row r="127" spans="1:20" x14ac:dyDescent="0.25">
      <c r="K127" s="30"/>
      <c r="T127"/>
    </row>
  </sheetData>
  <mergeCells count="1">
    <mergeCell ref="A87:T87"/>
  </mergeCells>
  <phoneticPr fontId="29" type="noConversion"/>
  <conditionalFormatting sqref="O88:O89 O91 O94:O96 O18:O39 O105:O116 O1:O5 O10 O7:O8 O12:O13 O41:O50 O71:O84 O52:O69">
    <cfRule type="colorScale" priority="98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23 O94:O96 O18 O20 O113:O116 O2:O5 O10 O7:O8 O53:O65 O77:O84">
    <cfRule type="cellIs" dxfId="198" priority="97" operator="lessThan">
      <formula>TODAY()+1</formula>
    </cfRule>
  </conditionalFormatting>
  <conditionalFormatting sqref="O9">
    <cfRule type="colorScale" priority="96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9">
    <cfRule type="cellIs" dxfId="197" priority="95" operator="lessThan">
      <formula>TODAY()+1</formula>
    </cfRule>
  </conditionalFormatting>
  <conditionalFormatting sqref="O75">
    <cfRule type="colorScale" priority="74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55">
    <cfRule type="cellIs" dxfId="196" priority="59" operator="lessThan">
      <formula>TODAY()+1</formula>
    </cfRule>
  </conditionalFormatting>
  <conditionalFormatting sqref="O107">
    <cfRule type="colorScale" priority="51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108:O110">
    <cfRule type="colorScale" priority="47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92">
    <cfRule type="colorScale" priority="46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92">
    <cfRule type="cellIs" dxfId="195" priority="45" operator="lessThan">
      <formula>TODAY()+1</formula>
    </cfRule>
  </conditionalFormatting>
  <conditionalFormatting sqref="O14">
    <cfRule type="colorScale" priority="43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41:O48">
    <cfRule type="cellIs" dxfId="194" priority="40" operator="lessThan">
      <formula>TODAY()+1</formula>
    </cfRule>
  </conditionalFormatting>
  <conditionalFormatting sqref="O60:O65">
    <cfRule type="cellIs" dxfId="193" priority="39" operator="lessThan">
      <formula>TODAY()+1</formula>
    </cfRule>
  </conditionalFormatting>
  <conditionalFormatting sqref="O60:O65">
    <cfRule type="colorScale" priority="38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60:O65">
    <cfRule type="cellIs" dxfId="192" priority="37" operator="lessThan">
      <formula>TODAY()+1</formula>
    </cfRule>
  </conditionalFormatting>
  <conditionalFormatting sqref="O57:O59">
    <cfRule type="cellIs" dxfId="191" priority="36" operator="lessThan">
      <formula>TODAY()+1</formula>
    </cfRule>
  </conditionalFormatting>
  <conditionalFormatting sqref="O57:O59">
    <cfRule type="colorScale" priority="35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57:O59">
    <cfRule type="cellIs" dxfId="190" priority="34" operator="lessThan">
      <formula>TODAY()+1</formula>
    </cfRule>
  </conditionalFormatting>
  <conditionalFormatting sqref="O97">
    <cfRule type="colorScale" priority="33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99">
    <cfRule type="colorScale" priority="32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49">
    <cfRule type="colorScale" priority="31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98">
    <cfRule type="colorScale" priority="30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49:O50">
    <cfRule type="cellIs" dxfId="189" priority="29" operator="lessThan">
      <formula>TODAY()+1</formula>
    </cfRule>
  </conditionalFormatting>
  <conditionalFormatting sqref="O101">
    <cfRule type="colorScale" priority="28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105">
    <cfRule type="cellIs" dxfId="188" priority="27" operator="lessThan">
      <formula>TODAY()+1</formula>
    </cfRule>
  </conditionalFormatting>
  <conditionalFormatting sqref="O51">
    <cfRule type="colorScale" priority="22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16">
    <cfRule type="colorScale" priority="20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104">
    <cfRule type="colorScale" priority="19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52">
    <cfRule type="cellIs" dxfId="187" priority="14" operator="lessThan">
      <formula>TODAY()+1</formula>
    </cfRule>
  </conditionalFormatting>
  <conditionalFormatting sqref="O84">
    <cfRule type="colorScale" priority="13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84">
    <cfRule type="cellIs" dxfId="186" priority="12" operator="lessThan">
      <formula>TODAY()+1</formula>
    </cfRule>
  </conditionalFormatting>
  <conditionalFormatting sqref="O15">
    <cfRule type="colorScale" priority="6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112">
    <cfRule type="cellIs" dxfId="185" priority="5" operator="lessThan">
      <formula>TODAY()+1</formula>
    </cfRule>
  </conditionalFormatting>
  <conditionalFormatting sqref="O58">
    <cfRule type="cellIs" dxfId="184" priority="4" operator="lessThan">
      <formula>TODAY()+1</formula>
    </cfRule>
  </conditionalFormatting>
  <conditionalFormatting sqref="O58">
    <cfRule type="colorScale" priority="3">
      <colorScale>
        <cfvo type="formula" val="TODAY()+1"/>
        <cfvo type="formula" val="TODAY()+15"/>
        <cfvo type="formula" val="TODAY()+90"/>
        <color rgb="FFFFFF00"/>
        <color rgb="FFC9E63A"/>
        <color rgb="FF0DAF37"/>
      </colorScale>
    </cfRule>
  </conditionalFormatting>
  <conditionalFormatting sqref="O58">
    <cfRule type="cellIs" dxfId="183" priority="2" operator="lessThan">
      <formula>TODAY()+1</formula>
    </cfRule>
  </conditionalFormatting>
  <conditionalFormatting sqref="O66:O69">
    <cfRule type="cellIs" dxfId="182" priority="1" operator="lessThan">
      <formula>TODAY()+1</formula>
    </cfRule>
  </conditionalFormatting>
  <pageMargins left="0.7" right="0.7" top="0.75" bottom="0.75" header="0.3" footer="0.3"/>
  <pageSetup paperSize="5" scale="52" fitToHeight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10FA-6AE7-43CA-8C5C-19D41FD09543}">
  <sheetPr>
    <tabColor theme="7" tint="0.39997558519241921"/>
  </sheetPr>
  <dimension ref="A1:J42"/>
  <sheetViews>
    <sheetView zoomScaleNormal="100" workbookViewId="0">
      <selection activeCell="D29" sqref="D29"/>
    </sheetView>
  </sheetViews>
  <sheetFormatPr defaultRowHeight="12.75" x14ac:dyDescent="0.2"/>
  <cols>
    <col min="1" max="1" width="12.7109375" customWidth="1"/>
    <col min="2" max="2" width="13.140625" customWidth="1"/>
    <col min="3" max="3" width="11.5703125" customWidth="1"/>
    <col min="4" max="4" width="38.42578125" customWidth="1"/>
    <col min="5" max="5" width="9.5703125" customWidth="1"/>
    <col min="6" max="6" width="10.85546875" customWidth="1"/>
    <col min="7" max="7" width="8.7109375" customWidth="1"/>
    <col min="8" max="8" width="46.42578125" customWidth="1"/>
    <col min="9" max="9" width="13.7109375" bestFit="1" customWidth="1"/>
    <col min="10" max="10" width="17.140625" bestFit="1" customWidth="1"/>
  </cols>
  <sheetData>
    <row r="1" spans="1:10" x14ac:dyDescent="0.2">
      <c r="A1" s="1565" t="s">
        <v>632</v>
      </c>
      <c r="B1" s="1566"/>
      <c r="C1" s="1566"/>
      <c r="D1" s="1566"/>
      <c r="E1" s="1566"/>
      <c r="F1" s="1566"/>
      <c r="G1" s="1566"/>
      <c r="H1" s="1566"/>
      <c r="I1" s="1566"/>
      <c r="J1" s="1567"/>
    </row>
    <row r="2" spans="1:10" x14ac:dyDescent="0.2">
      <c r="A2" s="1568"/>
      <c r="B2" s="1569"/>
      <c r="C2" s="1569"/>
      <c r="D2" s="1569"/>
      <c r="E2" s="1569"/>
      <c r="F2" s="1569"/>
      <c r="G2" s="1569"/>
      <c r="H2" s="1569"/>
      <c r="I2" s="1569"/>
      <c r="J2" s="1570"/>
    </row>
    <row r="3" spans="1:10" ht="55.5" customHeight="1" x14ac:dyDescent="0.2">
      <c r="A3" s="1568"/>
      <c r="B3" s="1569"/>
      <c r="C3" s="1569"/>
      <c r="D3" s="1569"/>
      <c r="E3" s="1569"/>
      <c r="F3" s="1569"/>
      <c r="G3" s="1569"/>
      <c r="H3" s="1569"/>
      <c r="I3" s="1569"/>
      <c r="J3" s="1570"/>
    </row>
    <row r="4" spans="1:10" x14ac:dyDescent="0.2">
      <c r="A4" s="825" t="s">
        <v>633</v>
      </c>
      <c r="B4" s="826" t="s">
        <v>16</v>
      </c>
      <c r="C4" s="825" t="s">
        <v>6</v>
      </c>
      <c r="D4" s="827" t="s">
        <v>7</v>
      </c>
      <c r="E4" s="828" t="s">
        <v>8</v>
      </c>
      <c r="F4" s="829" t="s">
        <v>18</v>
      </c>
      <c r="G4" s="829" t="s">
        <v>17</v>
      </c>
      <c r="H4" s="829" t="s">
        <v>634</v>
      </c>
      <c r="I4" s="830" t="s">
        <v>635</v>
      </c>
      <c r="J4" s="829" t="s">
        <v>15</v>
      </c>
    </row>
    <row r="5" spans="1:10" s="230" customFormat="1" ht="25.5" customHeight="1" x14ac:dyDescent="0.2">
      <c r="A5" s="831" t="s">
        <v>64</v>
      </c>
      <c r="B5" s="832">
        <v>46179</v>
      </c>
      <c r="C5" s="833" t="s">
        <v>636</v>
      </c>
      <c r="D5" s="1558" t="s">
        <v>637</v>
      </c>
      <c r="E5" s="820"/>
      <c r="F5" s="1561" t="s">
        <v>68</v>
      </c>
      <c r="G5" s="834" t="s">
        <v>638</v>
      </c>
      <c r="H5" s="835" t="s">
        <v>639</v>
      </c>
      <c r="I5" s="836">
        <v>45883</v>
      </c>
      <c r="J5" s="837" t="s">
        <v>317</v>
      </c>
    </row>
    <row r="6" spans="1:10" s="230" customFormat="1" ht="15" x14ac:dyDescent="0.2">
      <c r="A6" s="838" t="s">
        <v>69</v>
      </c>
      <c r="B6" s="229">
        <v>46179</v>
      </c>
      <c r="C6" s="839" t="s">
        <v>70</v>
      </c>
      <c r="D6" s="1557"/>
      <c r="E6" s="319"/>
      <c r="F6" s="1571"/>
      <c r="G6" s="840" t="s">
        <v>638</v>
      </c>
      <c r="H6" s="835" t="s">
        <v>639</v>
      </c>
      <c r="I6" s="841">
        <v>45883</v>
      </c>
      <c r="J6" s="837" t="s">
        <v>66</v>
      </c>
    </row>
    <row r="7" spans="1:10" ht="25.5" customHeight="1" x14ac:dyDescent="0.2">
      <c r="A7" s="838" t="s">
        <v>72</v>
      </c>
      <c r="B7" s="842">
        <v>45984</v>
      </c>
      <c r="C7" s="839" t="s">
        <v>73</v>
      </c>
      <c r="D7" s="1556" t="s">
        <v>640</v>
      </c>
      <c r="E7" s="319"/>
      <c r="F7" s="1560" t="s">
        <v>68</v>
      </c>
      <c r="G7" s="172" t="s">
        <v>641</v>
      </c>
      <c r="H7" s="241" t="s">
        <v>642</v>
      </c>
      <c r="I7" s="843">
        <v>45883</v>
      </c>
      <c r="J7" s="837" t="s">
        <v>66</v>
      </c>
    </row>
    <row r="8" spans="1:10" x14ac:dyDescent="0.2">
      <c r="A8" s="844" t="s">
        <v>76</v>
      </c>
      <c r="B8" s="842">
        <v>46055</v>
      </c>
      <c r="C8" s="839"/>
      <c r="D8" s="1557"/>
      <c r="E8" s="319"/>
      <c r="F8" s="1571"/>
      <c r="G8" s="172" t="s">
        <v>641</v>
      </c>
      <c r="H8" s="241" t="s">
        <v>639</v>
      </c>
      <c r="I8" s="863">
        <v>45883</v>
      </c>
      <c r="J8" s="845" t="s">
        <v>317</v>
      </c>
    </row>
    <row r="9" spans="1:10" ht="33.75" x14ac:dyDescent="0.2">
      <c r="A9" s="844" t="s">
        <v>79</v>
      </c>
      <c r="B9" s="842">
        <v>45883</v>
      </c>
      <c r="C9" s="839" t="s">
        <v>80</v>
      </c>
      <c r="D9" s="218" t="s">
        <v>643</v>
      </c>
      <c r="E9" s="319"/>
      <c r="F9" s="846" t="s">
        <v>68</v>
      </c>
      <c r="G9" s="172"/>
      <c r="H9" s="241"/>
      <c r="I9" s="172"/>
      <c r="J9" s="845"/>
    </row>
    <row r="10" spans="1:10" ht="25.5" customHeight="1" x14ac:dyDescent="0.2">
      <c r="A10" s="844" t="s">
        <v>120</v>
      </c>
      <c r="B10" s="229">
        <v>45424</v>
      </c>
      <c r="C10" s="839" t="s">
        <v>121</v>
      </c>
      <c r="D10" s="1556" t="s">
        <v>644</v>
      </c>
      <c r="E10" s="819"/>
      <c r="F10" s="1560" t="s">
        <v>68</v>
      </c>
      <c r="G10" s="172" t="s">
        <v>641</v>
      </c>
      <c r="H10" s="241" t="s">
        <v>645</v>
      </c>
      <c r="I10" s="843">
        <v>45966</v>
      </c>
      <c r="J10" s="837" t="s">
        <v>646</v>
      </c>
    </row>
    <row r="11" spans="1:10" x14ac:dyDescent="0.2">
      <c r="A11" s="844" t="s">
        <v>124</v>
      </c>
      <c r="B11" s="229">
        <v>46179</v>
      </c>
      <c r="C11" s="839" t="s">
        <v>125</v>
      </c>
      <c r="D11" s="1558"/>
      <c r="E11" s="319"/>
      <c r="F11" s="1561"/>
      <c r="G11" s="172" t="s">
        <v>638</v>
      </c>
      <c r="H11" s="241"/>
      <c r="I11" s="843">
        <v>46000</v>
      </c>
      <c r="J11" s="837" t="s">
        <v>214</v>
      </c>
    </row>
    <row r="12" spans="1:10" x14ac:dyDescent="0.2">
      <c r="A12" s="844" t="s">
        <v>127</v>
      </c>
      <c r="B12" s="229">
        <v>46004</v>
      </c>
      <c r="C12" s="839" t="s">
        <v>128</v>
      </c>
      <c r="D12" s="1557"/>
      <c r="E12" s="319"/>
      <c r="F12" s="1571"/>
      <c r="G12" s="172" t="s">
        <v>641</v>
      </c>
      <c r="H12" s="241" t="s">
        <v>647</v>
      </c>
      <c r="I12" s="843">
        <v>45883</v>
      </c>
      <c r="J12" s="837" t="s">
        <v>317</v>
      </c>
    </row>
    <row r="13" spans="1:10" ht="22.5" x14ac:dyDescent="0.2">
      <c r="A13" s="844" t="s">
        <v>178</v>
      </c>
      <c r="B13" s="842">
        <v>46069</v>
      </c>
      <c r="C13" s="839" t="s">
        <v>179</v>
      </c>
      <c r="D13" s="218" t="s">
        <v>180</v>
      </c>
      <c r="E13" s="319"/>
      <c r="F13" s="847" t="s">
        <v>24</v>
      </c>
      <c r="G13" s="172"/>
      <c r="H13" s="241"/>
      <c r="I13" s="172"/>
      <c r="J13" s="845"/>
    </row>
    <row r="14" spans="1:10" ht="22.5" x14ac:dyDescent="0.2">
      <c r="A14" s="844" t="s">
        <v>396</v>
      </c>
      <c r="B14" s="848">
        <v>45856</v>
      </c>
      <c r="C14" s="839" t="s">
        <v>397</v>
      </c>
      <c r="D14" s="218" t="s">
        <v>648</v>
      </c>
      <c r="E14" s="319"/>
      <c r="F14" s="847" t="s">
        <v>24</v>
      </c>
      <c r="G14" s="172"/>
      <c r="H14" s="241"/>
      <c r="I14" s="172"/>
      <c r="J14" s="845"/>
    </row>
    <row r="15" spans="1:10" ht="22.5" x14ac:dyDescent="0.2">
      <c r="A15" s="844" t="s">
        <v>393</v>
      </c>
      <c r="B15" s="848">
        <v>46145</v>
      </c>
      <c r="C15" s="839" t="s">
        <v>394</v>
      </c>
      <c r="D15" s="218" t="s">
        <v>395</v>
      </c>
      <c r="E15" s="819"/>
      <c r="F15" s="847" t="s">
        <v>24</v>
      </c>
      <c r="G15" s="172" t="s">
        <v>641</v>
      </c>
      <c r="H15" s="241" t="s">
        <v>649</v>
      </c>
      <c r="I15" s="843">
        <v>45854</v>
      </c>
      <c r="J15" s="845" t="s">
        <v>66</v>
      </c>
    </row>
    <row r="16" spans="1:10" ht="25.5" customHeight="1" x14ac:dyDescent="0.2">
      <c r="A16" s="844" t="s">
        <v>346</v>
      </c>
      <c r="B16" s="229">
        <v>46138</v>
      </c>
      <c r="C16" s="839" t="s">
        <v>347</v>
      </c>
      <c r="D16" s="1556" t="s">
        <v>345</v>
      </c>
      <c r="E16" s="319"/>
      <c r="F16" s="1563" t="s">
        <v>24</v>
      </c>
      <c r="G16" s="172" t="s">
        <v>641</v>
      </c>
      <c r="H16" s="241"/>
      <c r="I16" s="843">
        <v>45854</v>
      </c>
      <c r="J16" s="845" t="s">
        <v>66</v>
      </c>
    </row>
    <row r="17" spans="1:10" ht="18" customHeight="1" x14ac:dyDescent="0.2">
      <c r="A17" s="844" t="s">
        <v>343</v>
      </c>
      <c r="B17" s="229">
        <v>46052</v>
      </c>
      <c r="C17" s="839" t="s">
        <v>344</v>
      </c>
      <c r="D17" s="1557"/>
      <c r="E17" s="319"/>
      <c r="F17" s="1564"/>
      <c r="G17" s="172" t="s">
        <v>638</v>
      </c>
      <c r="H17" s="241"/>
      <c r="I17" s="843">
        <v>45854</v>
      </c>
      <c r="J17" s="845" t="s">
        <v>66</v>
      </c>
    </row>
    <row r="18" spans="1:10" ht="18" customHeight="1" x14ac:dyDescent="0.2">
      <c r="A18" s="844" t="s">
        <v>320</v>
      </c>
      <c r="B18" s="229">
        <v>46025</v>
      </c>
      <c r="C18" s="839" t="s">
        <v>321</v>
      </c>
      <c r="D18" s="1556" t="s">
        <v>650</v>
      </c>
      <c r="E18" s="319"/>
      <c r="F18" s="1560" t="s">
        <v>68</v>
      </c>
      <c r="G18" s="172" t="s">
        <v>641</v>
      </c>
      <c r="H18" s="241"/>
      <c r="I18" s="843">
        <v>45854</v>
      </c>
      <c r="J18" s="845" t="s">
        <v>66</v>
      </c>
    </row>
    <row r="19" spans="1:10" ht="33.75" x14ac:dyDescent="0.2">
      <c r="A19" s="844" t="s">
        <v>323</v>
      </c>
      <c r="B19" s="229">
        <v>46069</v>
      </c>
      <c r="C19" s="839" t="s">
        <v>324</v>
      </c>
      <c r="D19" s="1558"/>
      <c r="E19" s="819"/>
      <c r="F19" s="1561"/>
      <c r="G19" s="172" t="s">
        <v>638</v>
      </c>
      <c r="H19" s="241" t="s">
        <v>651</v>
      </c>
      <c r="I19" s="843">
        <v>45854</v>
      </c>
      <c r="J19" s="845" t="s">
        <v>66</v>
      </c>
    </row>
    <row r="20" spans="1:10" ht="13.5" thickBot="1" x14ac:dyDescent="0.25">
      <c r="A20" s="849" t="s">
        <v>326</v>
      </c>
      <c r="B20" s="850">
        <v>45962</v>
      </c>
      <c r="C20" s="851" t="s">
        <v>327</v>
      </c>
      <c r="D20" s="1559"/>
      <c r="E20" s="852"/>
      <c r="F20" s="1562"/>
      <c r="G20" s="853"/>
      <c r="H20" s="854"/>
      <c r="I20" s="853"/>
      <c r="J20" s="855"/>
    </row>
    <row r="21" spans="1:10" ht="15" x14ac:dyDescent="0.2">
      <c r="A21" s="321"/>
      <c r="B21" s="321"/>
      <c r="C21" s="822"/>
      <c r="D21" s="321"/>
      <c r="E21" s="321"/>
      <c r="F21" s="321"/>
      <c r="G21" s="821"/>
      <c r="H21" s="823"/>
      <c r="I21" s="821"/>
      <c r="J21" s="821"/>
    </row>
    <row r="22" spans="1:10" ht="15" x14ac:dyDescent="0.2">
      <c r="A22" s="321"/>
      <c r="B22" s="321"/>
      <c r="C22" s="822"/>
      <c r="D22" s="321"/>
      <c r="E22" s="321"/>
      <c r="F22" s="321"/>
      <c r="G22" s="821"/>
      <c r="H22" s="823"/>
      <c r="I22" s="821"/>
      <c r="J22" s="821"/>
    </row>
    <row r="23" spans="1:10" ht="15" x14ac:dyDescent="0.2">
      <c r="A23" s="321"/>
      <c r="B23" s="321"/>
      <c r="C23" s="822"/>
      <c r="D23" s="321"/>
      <c r="E23" s="321"/>
      <c r="F23" s="321"/>
      <c r="G23" s="821"/>
      <c r="H23" s="823"/>
      <c r="I23" s="821"/>
      <c r="J23" s="821"/>
    </row>
    <row r="24" spans="1:10" ht="15" x14ac:dyDescent="0.2">
      <c r="A24" s="321"/>
      <c r="B24" s="321"/>
      <c r="C24" s="822"/>
      <c r="D24" s="321"/>
      <c r="E24" s="321"/>
      <c r="F24" s="321"/>
      <c r="G24" s="821"/>
      <c r="H24" s="823"/>
      <c r="I24" s="821"/>
      <c r="J24" s="821"/>
    </row>
    <row r="25" spans="1:10" ht="15" x14ac:dyDescent="0.2">
      <c r="A25" s="321"/>
      <c r="B25" s="321"/>
      <c r="C25" s="822"/>
      <c r="D25" s="321"/>
      <c r="E25" s="321"/>
      <c r="F25" s="321"/>
      <c r="G25" s="821"/>
      <c r="H25" s="823"/>
      <c r="I25" s="821"/>
      <c r="J25" s="821"/>
    </row>
    <row r="26" spans="1:10" ht="15" x14ac:dyDescent="0.2">
      <c r="A26" s="321"/>
      <c r="B26" s="321"/>
      <c r="C26" s="822"/>
      <c r="D26" s="321"/>
      <c r="E26" s="321"/>
      <c r="F26" s="321"/>
      <c r="G26" s="821"/>
      <c r="H26" s="823"/>
      <c r="I26" s="821"/>
      <c r="J26" s="821"/>
    </row>
    <row r="27" spans="1:10" ht="15" x14ac:dyDescent="0.2">
      <c r="A27" s="321"/>
      <c r="B27" s="321"/>
      <c r="C27" s="822"/>
      <c r="D27" s="321"/>
      <c r="E27" s="321"/>
      <c r="F27" s="321"/>
      <c r="G27" s="821"/>
      <c r="H27" s="823"/>
      <c r="I27" s="821"/>
      <c r="J27" s="821"/>
    </row>
    <row r="28" spans="1:10" ht="15" x14ac:dyDescent="0.2">
      <c r="A28" s="321"/>
      <c r="B28" s="321"/>
      <c r="C28" s="822"/>
      <c r="D28" s="321"/>
      <c r="E28" s="321"/>
      <c r="F28" s="321"/>
      <c r="G28" s="821"/>
      <c r="H28" s="823"/>
      <c r="I28" s="821"/>
      <c r="J28" s="821"/>
    </row>
    <row r="29" spans="1:10" ht="15" x14ac:dyDescent="0.2">
      <c r="A29" s="321"/>
      <c r="B29" s="321"/>
      <c r="C29" s="822"/>
      <c r="D29" s="321"/>
      <c r="E29" s="321"/>
      <c r="F29" s="321"/>
      <c r="G29" s="821"/>
      <c r="H29" s="823"/>
      <c r="I29" s="821"/>
      <c r="J29" s="821"/>
    </row>
    <row r="30" spans="1:10" ht="15" x14ac:dyDescent="0.2">
      <c r="A30" s="321"/>
      <c r="B30" s="321"/>
      <c r="C30" s="822"/>
      <c r="D30" s="321"/>
      <c r="E30" s="321"/>
      <c r="F30" s="321"/>
      <c r="G30" s="821"/>
      <c r="H30" s="823"/>
      <c r="I30" s="821"/>
      <c r="J30" s="821"/>
    </row>
    <row r="31" spans="1:10" ht="15" x14ac:dyDescent="0.2">
      <c r="A31" s="321"/>
      <c r="B31" s="321"/>
      <c r="C31" s="822"/>
      <c r="D31" s="321"/>
      <c r="E31" s="321"/>
      <c r="F31" s="321"/>
      <c r="G31" s="821"/>
      <c r="H31" s="823"/>
      <c r="I31" s="821"/>
      <c r="J31" s="821"/>
    </row>
    <row r="32" spans="1:10" ht="15" x14ac:dyDescent="0.2">
      <c r="A32" s="321"/>
      <c r="B32" s="321"/>
      <c r="C32" s="822"/>
      <c r="D32" s="321"/>
      <c r="E32" s="321"/>
      <c r="F32" s="321"/>
      <c r="G32" s="821"/>
      <c r="H32" s="823"/>
      <c r="I32" s="821"/>
      <c r="J32" s="821"/>
    </row>
    <row r="33" spans="1:10" ht="15" x14ac:dyDescent="0.2">
      <c r="A33" s="321"/>
      <c r="B33" s="321"/>
      <c r="C33" s="822"/>
      <c r="D33" s="321"/>
      <c r="E33" s="321"/>
      <c r="F33" s="321"/>
      <c r="G33" s="821"/>
      <c r="H33" s="823"/>
      <c r="I33" s="821"/>
      <c r="J33" s="821"/>
    </row>
    <row r="34" spans="1:10" ht="15" x14ac:dyDescent="0.2">
      <c r="A34" s="321"/>
      <c r="B34" s="321"/>
      <c r="C34" s="321"/>
      <c r="D34" s="321"/>
      <c r="E34" s="321"/>
      <c r="F34" s="321"/>
      <c r="G34" s="821"/>
      <c r="H34" s="823"/>
      <c r="I34" s="821"/>
      <c r="J34" s="821"/>
    </row>
    <row r="35" spans="1:10" ht="15" x14ac:dyDescent="0.2">
      <c r="A35" s="321"/>
      <c r="B35" s="321"/>
      <c r="C35" s="321"/>
      <c r="D35" s="321"/>
      <c r="E35" s="321"/>
      <c r="F35" s="321"/>
      <c r="G35" s="821"/>
      <c r="H35" s="824"/>
      <c r="I35" s="821"/>
      <c r="J35" s="821"/>
    </row>
    <row r="36" spans="1:10" ht="15" x14ac:dyDescent="0.2">
      <c r="A36" s="321"/>
      <c r="B36" s="321"/>
      <c r="C36" s="321"/>
      <c r="D36" s="321"/>
      <c r="E36" s="321"/>
      <c r="F36" s="321"/>
      <c r="G36" s="821"/>
      <c r="H36" s="824"/>
      <c r="I36" s="821"/>
      <c r="J36" s="821"/>
    </row>
    <row r="37" spans="1:10" ht="15" x14ac:dyDescent="0.2">
      <c r="A37" s="321"/>
      <c r="B37" s="321"/>
      <c r="C37" s="321"/>
      <c r="D37" s="321"/>
      <c r="E37" s="321"/>
      <c r="F37" s="321"/>
      <c r="G37" s="821"/>
      <c r="H37" s="824"/>
      <c r="I37" s="821"/>
      <c r="J37" s="821"/>
    </row>
    <row r="38" spans="1:10" ht="15" x14ac:dyDescent="0.2">
      <c r="A38" s="321"/>
      <c r="B38" s="321"/>
      <c r="C38" s="321"/>
      <c r="D38" s="321"/>
      <c r="E38" s="321"/>
      <c r="F38" s="321"/>
      <c r="G38" s="821"/>
      <c r="H38" s="824"/>
      <c r="I38" s="821"/>
      <c r="J38" s="821"/>
    </row>
    <row r="39" spans="1:10" ht="15" x14ac:dyDescent="0.2">
      <c r="A39" s="321"/>
      <c r="B39" s="321"/>
      <c r="C39" s="321"/>
      <c r="D39" s="321"/>
      <c r="E39" s="321"/>
      <c r="F39" s="321"/>
      <c r="G39" s="821"/>
      <c r="H39" s="824"/>
      <c r="I39" s="821"/>
      <c r="J39" s="821"/>
    </row>
    <row r="40" spans="1:10" ht="15" x14ac:dyDescent="0.2">
      <c r="A40" s="321"/>
      <c r="B40" s="321"/>
      <c r="C40" s="321"/>
      <c r="D40" s="321"/>
      <c r="E40" s="321"/>
      <c r="F40" s="321"/>
      <c r="G40" s="821"/>
      <c r="H40" s="824"/>
      <c r="I40" s="821"/>
      <c r="J40" s="821"/>
    </row>
    <row r="41" spans="1:10" ht="15" x14ac:dyDescent="0.2">
      <c r="A41" s="321"/>
      <c r="B41" s="321"/>
      <c r="C41" s="321"/>
      <c r="D41" s="321"/>
      <c r="E41" s="321"/>
      <c r="F41" s="321"/>
      <c r="G41" s="821"/>
      <c r="H41" s="824"/>
      <c r="I41" s="821"/>
      <c r="J41" s="821"/>
    </row>
    <row r="42" spans="1:10" ht="15" x14ac:dyDescent="0.2">
      <c r="A42" s="321"/>
      <c r="B42" s="321"/>
      <c r="C42" s="321"/>
      <c r="D42" s="321"/>
      <c r="E42" s="321"/>
      <c r="F42" s="321"/>
      <c r="G42" s="821"/>
      <c r="H42" s="821"/>
      <c r="I42" s="821"/>
      <c r="J42" s="821"/>
    </row>
  </sheetData>
  <mergeCells count="11">
    <mergeCell ref="D16:D17"/>
    <mergeCell ref="D18:D20"/>
    <mergeCell ref="F18:F20"/>
    <mergeCell ref="F16:F17"/>
    <mergeCell ref="A1:J3"/>
    <mergeCell ref="F5:F6"/>
    <mergeCell ref="D5:D6"/>
    <mergeCell ref="D7:D8"/>
    <mergeCell ref="D10:D12"/>
    <mergeCell ref="F7:F8"/>
    <mergeCell ref="F10:F12"/>
  </mergeCells>
  <conditionalFormatting sqref="E14 E16:E18">
    <cfRule type="containsText" dxfId="160" priority="42" stopIfTrue="1" operator="containsText" text="DEPLOYED">
      <formula>NOT(ISERROR(SEARCH("DEPLOYED",E14)))</formula>
    </cfRule>
    <cfRule type="containsText" dxfId="159" priority="43" stopIfTrue="1" operator="containsText" text="Inspection/cal">
      <formula>NOT(ISERROR(SEARCH("Inspection/cal",E14)))</formula>
    </cfRule>
    <cfRule type="containsText" dxfId="158" priority="44" stopIfTrue="1" operator="containsText" text="U/S">
      <formula>NOT(ISERROR(SEARCH("U/S",E14)))</formula>
    </cfRule>
    <cfRule type="containsText" dxfId="157" priority="45" stopIfTrue="1" operator="containsText" text="S">
      <formula>NOT(ISERROR(SEARCH("S",E14)))</formula>
    </cfRule>
  </conditionalFormatting>
  <conditionalFormatting sqref="E15">
    <cfRule type="containsText" dxfId="156" priority="30" stopIfTrue="1" operator="containsText" text="DEPLOYED">
      <formula>NOT(ISERROR(SEARCH("DEPLOYED",E15)))</formula>
    </cfRule>
    <cfRule type="containsText" dxfId="155" priority="31" stopIfTrue="1" operator="containsText" text="Inspection/cal">
      <formula>NOT(ISERROR(SEARCH("Inspection/cal",E15)))</formula>
    </cfRule>
    <cfRule type="containsText" dxfId="154" priority="32" stopIfTrue="1" operator="containsText" text="U/S">
      <formula>NOT(ISERROR(SEARCH("U/S",E15)))</formula>
    </cfRule>
    <cfRule type="containsText" dxfId="153" priority="33" stopIfTrue="1" operator="containsText" text="S">
      <formula>NOT(ISERROR(SEARCH("S",E15)))</formula>
    </cfRule>
  </conditionalFormatting>
  <conditionalFormatting sqref="E20">
    <cfRule type="containsText" dxfId="152" priority="26" stopIfTrue="1" operator="containsText" text="DEPLOYED">
      <formula>NOT(ISERROR(SEARCH("DEPLOYED",E20)))</formula>
    </cfRule>
    <cfRule type="containsText" dxfId="151" priority="27" stopIfTrue="1" operator="containsText" text="Inspection/cal">
      <formula>NOT(ISERROR(SEARCH("Inspection/cal",E20)))</formula>
    </cfRule>
    <cfRule type="containsText" dxfId="150" priority="28" stopIfTrue="1" operator="containsText" text="U/S">
      <formula>NOT(ISERROR(SEARCH("U/S",E20)))</formula>
    </cfRule>
    <cfRule type="containsText" dxfId="149" priority="29" stopIfTrue="1" operator="containsText" text="S">
      <formula>NOT(ISERROR(SEARCH("S",E20)))</formula>
    </cfRule>
  </conditionalFormatting>
  <conditionalFormatting sqref="E19">
    <cfRule type="containsText" dxfId="148" priority="22" stopIfTrue="1" operator="containsText" text="DEPLOYED">
      <formula>NOT(ISERROR(SEARCH("DEPLOYED",E19)))</formula>
    </cfRule>
    <cfRule type="containsText" dxfId="147" priority="23" stopIfTrue="1" operator="containsText" text="Inspection/cal">
      <formula>NOT(ISERROR(SEARCH("Inspection/cal",E19)))</formula>
    </cfRule>
    <cfRule type="containsText" dxfId="146" priority="24" stopIfTrue="1" operator="containsText" text="U/S">
      <formula>NOT(ISERROR(SEARCH("U/S",E19)))</formula>
    </cfRule>
    <cfRule type="containsText" dxfId="145" priority="25" stopIfTrue="1" operator="containsText" text="S">
      <formula>NOT(ISERROR(SEARCH("S",E19)))</formula>
    </cfRule>
  </conditionalFormatting>
  <conditionalFormatting sqref="E5">
    <cfRule type="cellIs" dxfId="144" priority="17" stopIfTrue="1" operator="equal">
      <formula>"Ready"</formula>
    </cfRule>
    <cfRule type="cellIs" dxfId="143" priority="18" stopIfTrue="1" operator="equal">
      <formula>"INSPECTION"</formula>
    </cfRule>
    <cfRule type="cellIs" dxfId="142" priority="19" stopIfTrue="1" operator="equal">
      <formula>"DEPLOYED"</formula>
    </cfRule>
    <cfRule type="cellIs" dxfId="141" priority="20" stopIfTrue="1" operator="equal">
      <formula>"U/S"</formula>
    </cfRule>
    <cfRule type="cellIs" dxfId="140" priority="21" stopIfTrue="1" operator="equal">
      <formula>"S"</formula>
    </cfRule>
  </conditionalFormatting>
  <conditionalFormatting sqref="E6:E13">
    <cfRule type="cellIs" dxfId="139" priority="12" stopIfTrue="1" operator="equal">
      <formula>"Ready"</formula>
    </cfRule>
    <cfRule type="cellIs" dxfId="138" priority="13" stopIfTrue="1" operator="equal">
      <formula>"INSPECTION"</formula>
    </cfRule>
    <cfRule type="cellIs" dxfId="137" priority="14" stopIfTrue="1" operator="equal">
      <formula>"DEPLOYED"</formula>
    </cfRule>
    <cfRule type="cellIs" dxfId="136" priority="15" stopIfTrue="1" operator="equal">
      <formula>"U/S"</formula>
    </cfRule>
    <cfRule type="cellIs" dxfId="135" priority="16" stopIfTrue="1" operator="equal">
      <formula>"S"</formula>
    </cfRule>
  </conditionalFormatting>
  <conditionalFormatting sqref="E5:E36">
    <cfRule type="cellIs" dxfId="134" priority="7" stopIfTrue="1" operator="equal">
      <formula>"?"</formula>
    </cfRule>
    <cfRule type="cellIs" dxfId="133" priority="8" stopIfTrue="1" operator="equal">
      <formula>"Deployed"</formula>
    </cfRule>
    <cfRule type="cellIs" dxfId="132" priority="9" stopIfTrue="1" operator="equal">
      <formula>"Insp"</formula>
    </cfRule>
    <cfRule type="cellIs" dxfId="131" priority="10" stopIfTrue="1" operator="equal">
      <formula>"U/S"</formula>
    </cfRule>
    <cfRule type="cellIs" dxfId="130" priority="11" stopIfTrue="1" operator="equal">
      <formula>"S"</formula>
    </cfRule>
  </conditionalFormatting>
  <conditionalFormatting sqref="B5:B20">
    <cfRule type="expression" dxfId="129" priority="1" stopIfTrue="1">
      <formula>$B5&lt;=TODAY()</formula>
    </cfRule>
    <cfRule type="expression" dxfId="128" priority="2" stopIfTrue="1">
      <formula>AND(B5&gt;=TODAY()+1, B5&lt;=TODAY()+30)</formula>
    </cfRule>
    <cfRule type="expression" dxfId="127" priority="3" stopIfTrue="1">
      <formula>$B5&gt;TODAY()+30</formula>
    </cfRule>
    <cfRule type="cellIs" dxfId="126" priority="4" stopIfTrue="1" operator="equal">
      <formula>"TBD"</formula>
    </cfRule>
    <cfRule type="cellIs" dxfId="125" priority="6" stopIfTrue="1" operator="equal">
      <formula>"?"</formula>
    </cfRule>
  </conditionalFormatting>
  <dataValidations xWindow="1533" yWindow="319" count="3">
    <dataValidation type="list" allowBlank="1" showInputMessage="1" showErrorMessage="1" sqref="E5:E35" xr:uid="{1164B90C-AA86-432D-9F0E-B821CA70BB07}">
      <formula1>"S, U/S, INSP, Deployed, Ready, ?"</formula1>
    </dataValidation>
    <dataValidation type="list" allowBlank="1" showInputMessage="1" showErrorMessage="1" errorTitle="Sorry" error="Sorry, Use One of Listed Values" promptTitle="Please Select Location" prompt="6 Hanger_x000a_1 Hanger_x000a_47 North Start Drive_x000a_7 Hanger Shelter_x000a_TEME_x000a_Deployed_x000a_North Ramp_x000a_West Ramp_x000a_6 Hanger POL Room_x000a_Supply to or from Pylon" sqref="G5:G32" xr:uid="{0F8E56C4-47CE-4705-9852-A8DB643678A6}">
      <formula1>"6 Hangar, 1 Hangar, 47 North Start Drive, 7 Hangar Shelter, TEME, Deployed"</formula1>
    </dataValidation>
    <dataValidation allowBlank="1" showInputMessage="1" sqref="H5:H30" xr:uid="{B74C7A0F-E7DF-43DC-B00A-D127000067D3}"/>
  </dataValidations>
  <pageMargins left="0.7" right="0.7" top="0.75" bottom="0.75" header="0.3" footer="0.3"/>
  <pageSetup paperSize="5" orientation="landscape" r:id="rId1"/>
  <ignoredErrors>
    <ignoredError sqref="C5:C6 C10:C13 C14:C15 C16:C17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BA10-B95B-4218-9237-304C87E20988}">
  <sheetPr codeName="Sheet5">
    <tabColor indexed="10"/>
    <pageSetUpPr autoPageBreaks="0"/>
  </sheetPr>
  <dimension ref="A1:J43"/>
  <sheetViews>
    <sheetView showGridLines="0" zoomScaleNormal="100" zoomScaleSheetLayoutView="100" workbookViewId="0">
      <pane ySplit="6" topLeftCell="A7" activePane="bottomLeft" state="frozen"/>
      <selection pane="bottomLeft" activeCell="I25" sqref="I25"/>
    </sheetView>
  </sheetViews>
  <sheetFormatPr defaultRowHeight="12.75" x14ac:dyDescent="0.2"/>
  <cols>
    <col min="1" max="1" width="13.85546875" style="1" customWidth="1"/>
    <col min="2" max="2" width="38" style="3" customWidth="1"/>
    <col min="3" max="3" width="38" style="1" customWidth="1"/>
    <col min="4" max="4" width="22.28515625" customWidth="1"/>
    <col min="5" max="6" width="17.85546875" customWidth="1"/>
    <col min="7" max="7" width="27.5703125" customWidth="1"/>
    <col min="8" max="8" width="10.5703125" customWidth="1"/>
    <col min="9" max="10" width="15.28515625" style="2" customWidth="1"/>
  </cols>
  <sheetData>
    <row r="1" spans="1:10" x14ac:dyDescent="0.2">
      <c r="A1"/>
    </row>
    <row r="2" spans="1:10" ht="38.25" customHeight="1" x14ac:dyDescent="0.2">
      <c r="A2"/>
      <c r="B2" s="1597" t="s">
        <v>652</v>
      </c>
      <c r="C2" s="1598"/>
      <c r="E2" s="1604" t="s">
        <v>653</v>
      </c>
      <c r="F2" s="1605"/>
    </row>
    <row r="3" spans="1:10" x14ac:dyDescent="0.2">
      <c r="A3"/>
      <c r="B3" s="1602" t="s">
        <v>654</v>
      </c>
      <c r="C3" s="1603"/>
      <c r="E3" s="1606"/>
      <c r="F3" s="1607"/>
    </row>
    <row r="4" spans="1:10" ht="12.75" customHeight="1" x14ac:dyDescent="0.2">
      <c r="A4"/>
      <c r="B4" s="1619" t="s">
        <v>655</v>
      </c>
      <c r="C4" s="1620"/>
      <c r="E4" s="1608"/>
      <c r="F4" s="1609"/>
      <c r="I4" s="136"/>
    </row>
    <row r="5" spans="1:10" x14ac:dyDescent="0.2">
      <c r="A5"/>
    </row>
    <row r="6" spans="1:10" x14ac:dyDescent="0.2">
      <c r="A6"/>
    </row>
    <row r="7" spans="1:10" x14ac:dyDescent="0.2">
      <c r="A7"/>
    </row>
    <row r="8" spans="1:10" x14ac:dyDescent="0.2">
      <c r="A8"/>
      <c r="B8" s="1572" t="s">
        <v>9</v>
      </c>
      <c r="C8" s="1573"/>
    </row>
    <row r="9" spans="1:10" ht="12.75" customHeight="1" x14ac:dyDescent="0.2">
      <c r="A9"/>
      <c r="B9" s="135" t="s">
        <v>656</v>
      </c>
      <c r="C9" s="111" t="s">
        <v>657</v>
      </c>
      <c r="H9" s="140">
        <f ca="1">TODAY()</f>
        <v>46183</v>
      </c>
    </row>
    <row r="10" spans="1:10" ht="12.75" customHeight="1" x14ac:dyDescent="0.2">
      <c r="A10"/>
      <c r="B10" s="1599" t="s">
        <v>658</v>
      </c>
      <c r="C10" s="1616">
        <v>6</v>
      </c>
      <c r="E10" s="1610" t="s">
        <v>659</v>
      </c>
      <c r="F10" s="1611"/>
    </row>
    <row r="11" spans="1:10" ht="12.75" customHeight="1" x14ac:dyDescent="0.2">
      <c r="A11"/>
      <c r="B11" s="1600"/>
      <c r="C11" s="1617"/>
      <c r="E11" s="1612">
        <v>41897</v>
      </c>
      <c r="F11" s="1613"/>
    </row>
    <row r="12" spans="1:10" ht="12.75" customHeight="1" x14ac:dyDescent="0.2">
      <c r="A12"/>
      <c r="B12" s="1601"/>
      <c r="C12" s="1618"/>
      <c r="E12" s="1614"/>
      <c r="F12" s="1615"/>
    </row>
    <row r="13" spans="1:10" ht="12.75" customHeight="1" x14ac:dyDescent="0.2">
      <c r="A13"/>
      <c r="B13" s="135" t="s">
        <v>660</v>
      </c>
      <c r="C13" s="135" t="s">
        <v>661</v>
      </c>
    </row>
    <row r="14" spans="1:10" x14ac:dyDescent="0.2">
      <c r="A14"/>
    </row>
    <row r="15" spans="1:10" ht="12.75" customHeight="1" x14ac:dyDescent="0.2">
      <c r="B15" s="1572" t="s">
        <v>662</v>
      </c>
      <c r="C15" s="1573"/>
      <c r="I15"/>
      <c r="J15"/>
    </row>
    <row r="16" spans="1:10" ht="12.75" customHeight="1" x14ac:dyDescent="0.2">
      <c r="B16" s="1586">
        <v>0</v>
      </c>
      <c r="C16" s="1589">
        <v>0</v>
      </c>
      <c r="E16" s="1610" t="s">
        <v>662</v>
      </c>
      <c r="F16" s="1611"/>
      <c r="I16"/>
      <c r="J16"/>
    </row>
    <row r="17" spans="2:10" ht="12.75" customHeight="1" x14ac:dyDescent="0.2">
      <c r="B17" s="1587"/>
      <c r="C17" s="1590"/>
      <c r="E17" s="1612">
        <v>41897</v>
      </c>
      <c r="F17" s="1613"/>
      <c r="I17"/>
      <c r="J17"/>
    </row>
    <row r="18" spans="2:10" ht="12.75" customHeight="1" x14ac:dyDescent="0.2">
      <c r="B18" s="1588"/>
      <c r="C18" s="1591"/>
      <c r="E18" s="1614"/>
      <c r="F18" s="1615"/>
      <c r="I18"/>
      <c r="J18"/>
    </row>
    <row r="19" spans="2:10" ht="12" customHeight="1" x14ac:dyDescent="0.2">
      <c r="B19" s="135"/>
      <c r="C19" s="111"/>
      <c r="I19"/>
      <c r="J19"/>
    </row>
    <row r="20" spans="2:10" x14ac:dyDescent="0.2">
      <c r="B20" s="139"/>
      <c r="C20" s="141"/>
      <c r="I20"/>
      <c r="J20"/>
    </row>
    <row r="21" spans="2:10" ht="12.75" customHeight="1" x14ac:dyDescent="0.2">
      <c r="B21" s="1592" t="s">
        <v>663</v>
      </c>
      <c r="C21" s="1593"/>
      <c r="I21"/>
      <c r="J21"/>
    </row>
    <row r="22" spans="2:10" ht="12.75" customHeight="1" x14ac:dyDescent="0.2">
      <c r="B22" s="1574" t="s">
        <v>664</v>
      </c>
      <c r="C22" s="1594">
        <v>4</v>
      </c>
      <c r="E22" s="1610" t="s">
        <v>665</v>
      </c>
      <c r="F22" s="1621"/>
      <c r="I22"/>
      <c r="J22"/>
    </row>
    <row r="23" spans="2:10" ht="12.75" customHeight="1" x14ac:dyDescent="0.2">
      <c r="B23" s="1575"/>
      <c r="C23" s="1595"/>
      <c r="E23" s="1612">
        <v>41897</v>
      </c>
      <c r="F23" s="1613"/>
      <c r="I23"/>
      <c r="J23"/>
    </row>
    <row r="24" spans="2:10" ht="12.75" customHeight="1" x14ac:dyDescent="0.2">
      <c r="B24" s="1576"/>
      <c r="C24" s="1596"/>
      <c r="E24" s="1614"/>
      <c r="F24" s="1615"/>
      <c r="I24"/>
      <c r="J24"/>
    </row>
    <row r="25" spans="2:10" ht="12" customHeight="1" x14ac:dyDescent="0.2">
      <c r="B25" s="135" t="s">
        <v>666</v>
      </c>
      <c r="C25" s="111" t="s">
        <v>667</v>
      </c>
      <c r="I25"/>
      <c r="J25"/>
    </row>
    <row r="26" spans="2:10" ht="8.1" customHeight="1" x14ac:dyDescent="0.2">
      <c r="B26" s="139"/>
      <c r="C26" s="102"/>
      <c r="I26"/>
      <c r="J26"/>
    </row>
    <row r="27" spans="2:10" x14ac:dyDescent="0.2">
      <c r="B27" s="1572" t="s">
        <v>668</v>
      </c>
      <c r="C27" s="1573"/>
      <c r="I27"/>
      <c r="J27"/>
    </row>
    <row r="28" spans="2:10" ht="12.75" customHeight="1" x14ac:dyDescent="0.2">
      <c r="B28" s="1586">
        <v>1</v>
      </c>
      <c r="C28" s="1589">
        <v>2</v>
      </c>
      <c r="E28" s="1610" t="s">
        <v>669</v>
      </c>
      <c r="F28" s="1611"/>
      <c r="I28"/>
      <c r="J28"/>
    </row>
    <row r="29" spans="2:10" ht="12.75" customHeight="1" x14ac:dyDescent="0.2">
      <c r="B29" s="1587"/>
      <c r="C29" s="1590"/>
      <c r="E29" s="1612">
        <v>41908</v>
      </c>
      <c r="F29" s="1613"/>
      <c r="I29"/>
      <c r="J29"/>
    </row>
    <row r="30" spans="2:10" ht="9" customHeight="1" x14ac:dyDescent="0.2">
      <c r="B30" s="1588"/>
      <c r="C30" s="1591"/>
      <c r="E30" s="1614"/>
      <c r="F30" s="1615"/>
      <c r="I30"/>
      <c r="J30"/>
    </row>
    <row r="31" spans="2:10" ht="12.75" customHeight="1" x14ac:dyDescent="0.2">
      <c r="B31" s="135" t="s">
        <v>666</v>
      </c>
      <c r="C31" s="111" t="s">
        <v>667</v>
      </c>
      <c r="I31"/>
      <c r="J31"/>
    </row>
    <row r="32" spans="2:10" ht="8.1" customHeight="1" x14ac:dyDescent="0.2">
      <c r="B32" s="139"/>
      <c r="C32" s="102"/>
      <c r="I32"/>
      <c r="J32"/>
    </row>
    <row r="33" spans="1:10" ht="12.75" customHeight="1" x14ac:dyDescent="0.2">
      <c r="B33" s="1572" t="s">
        <v>670</v>
      </c>
      <c r="C33" s="1573"/>
      <c r="I33"/>
      <c r="J33"/>
    </row>
    <row r="34" spans="1:10" ht="12.75" customHeight="1" x14ac:dyDescent="0.2">
      <c r="B34" s="1583" t="s">
        <v>671</v>
      </c>
      <c r="C34" s="1580" t="s">
        <v>672</v>
      </c>
      <c r="E34" s="1610" t="s">
        <v>673</v>
      </c>
      <c r="F34" s="1611"/>
      <c r="I34"/>
      <c r="J34"/>
    </row>
    <row r="35" spans="1:10" ht="12.75" customHeight="1" x14ac:dyDescent="0.2">
      <c r="B35" s="1584"/>
      <c r="C35" s="1581"/>
      <c r="E35" s="1612">
        <v>41897</v>
      </c>
      <c r="F35" s="1613"/>
      <c r="I35"/>
      <c r="J35"/>
    </row>
    <row r="36" spans="1:10" ht="15" customHeight="1" x14ac:dyDescent="0.2">
      <c r="B36" s="1585"/>
      <c r="C36" s="1582"/>
      <c r="E36" s="1614"/>
      <c r="F36" s="1615"/>
      <c r="I36"/>
      <c r="J36"/>
    </row>
    <row r="37" spans="1:10" ht="13.5" customHeight="1" x14ac:dyDescent="0.2">
      <c r="B37" s="135"/>
      <c r="C37" s="111"/>
    </row>
    <row r="38" spans="1:10" ht="12.75" customHeight="1" x14ac:dyDescent="0.2"/>
    <row r="39" spans="1:10" ht="12.75" customHeight="1" x14ac:dyDescent="0.2">
      <c r="B39" s="1572" t="s">
        <v>674</v>
      </c>
      <c r="C39" s="1573"/>
      <c r="G39">
        <v>1</v>
      </c>
    </row>
    <row r="40" spans="1:10" ht="11.25" customHeight="1" x14ac:dyDescent="0.2">
      <c r="B40" s="1574" t="s">
        <v>671</v>
      </c>
      <c r="C40" s="1577" t="s">
        <v>671</v>
      </c>
      <c r="E40" s="1610" t="s">
        <v>673</v>
      </c>
      <c r="F40" s="1611"/>
    </row>
    <row r="41" spans="1:10" ht="12.75" customHeight="1" x14ac:dyDescent="0.2">
      <c r="B41" s="1575"/>
      <c r="C41" s="1578"/>
      <c r="E41" s="1612">
        <v>41897</v>
      </c>
      <c r="F41" s="1613"/>
    </row>
    <row r="42" spans="1:10" ht="12.75" customHeight="1" x14ac:dyDescent="0.2">
      <c r="B42" s="1576"/>
      <c r="C42" s="1579"/>
      <c r="E42" s="1614"/>
      <c r="F42" s="1615"/>
    </row>
    <row r="43" spans="1:10" x14ac:dyDescent="0.2">
      <c r="A43" s="145"/>
      <c r="B43" s="135"/>
      <c r="C43" s="111"/>
    </row>
  </sheetData>
  <sheetProtection insertRows="0"/>
  <mergeCells count="34">
    <mergeCell ref="E16:F16"/>
    <mergeCell ref="E40:F40"/>
    <mergeCell ref="E41:F42"/>
    <mergeCell ref="E34:F34"/>
    <mergeCell ref="E28:F28"/>
    <mergeCell ref="E29:F30"/>
    <mergeCell ref="E17:F18"/>
    <mergeCell ref="E23:F24"/>
    <mergeCell ref="E35:F36"/>
    <mergeCell ref="E22:F22"/>
    <mergeCell ref="B2:C2"/>
    <mergeCell ref="B8:C8"/>
    <mergeCell ref="B10:B12"/>
    <mergeCell ref="B3:C3"/>
    <mergeCell ref="E2:F4"/>
    <mergeCell ref="E10:F10"/>
    <mergeCell ref="E11:F12"/>
    <mergeCell ref="C10:C12"/>
    <mergeCell ref="B4:C4"/>
    <mergeCell ref="B15:C15"/>
    <mergeCell ref="B22:B24"/>
    <mergeCell ref="B33:C33"/>
    <mergeCell ref="B16:B18"/>
    <mergeCell ref="C16:C18"/>
    <mergeCell ref="B28:B30"/>
    <mergeCell ref="C28:C30"/>
    <mergeCell ref="B21:C21"/>
    <mergeCell ref="C22:C24"/>
    <mergeCell ref="B39:C39"/>
    <mergeCell ref="B40:B42"/>
    <mergeCell ref="C40:C42"/>
    <mergeCell ref="B27:C27"/>
    <mergeCell ref="C34:C36"/>
    <mergeCell ref="B34:B36"/>
  </mergeCells>
  <phoneticPr fontId="5" type="noConversion"/>
  <dataValidations xWindow="794" yWindow="287" count="2">
    <dataValidation type="list" allowBlank="1" showInputMessage="1" showErrorMessage="1" sqref="E35:F36 E29:F30 E23:F24 E17:F18 E41:F42" xr:uid="{72D7D535-8B63-473B-8D15-1D0286F419A6}">
      <formula1>#REF!</formula1>
    </dataValidation>
    <dataValidation type="list" allowBlank="1" showInputMessage="1" showErrorMessage="1" sqref="E11:F12" xr:uid="{8F0791DD-EC46-48D5-8A5F-58AFC98EC0B9}">
      <formula1>$H$9</formula1>
    </dataValidation>
  </dataValidations>
  <hyperlinks>
    <hyperlink ref="B4" r:id="rId1" xr:uid="{22A80B31-8727-4C7C-B2A7-95E71384D3F3}"/>
  </hyperlinks>
  <printOptions horizontalCentered="1"/>
  <pageMargins left="0.75" right="0.75" top="1" bottom="1" header="0.5" footer="0.5"/>
  <pageSetup scale="70" orientation="portrait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9B54-1FDF-483D-8214-36675ED87783}">
  <sheetPr codeName="Sheet6">
    <tabColor indexed="11"/>
    <pageSetUpPr fitToPage="1"/>
  </sheetPr>
  <dimension ref="A1:O187"/>
  <sheetViews>
    <sheetView showGridLines="0" workbookViewId="0">
      <pane ySplit="1" topLeftCell="A2" activePane="bottomLeft" state="frozen"/>
      <selection activeCell="P189" sqref="P189"/>
      <selection pane="bottomLeft" activeCell="B14" sqref="B14:B25"/>
    </sheetView>
  </sheetViews>
  <sheetFormatPr defaultRowHeight="12.75" x14ac:dyDescent="0.2"/>
  <cols>
    <col min="1" max="1" width="10.7109375" customWidth="1"/>
    <col min="2" max="2" width="24.5703125" style="2" customWidth="1"/>
    <col min="3" max="3" width="11.5703125" style="2" customWidth="1"/>
    <col min="4" max="4" width="12.5703125" style="161" customWidth="1"/>
    <col min="5" max="5" width="5.5703125" style="2" customWidth="1"/>
    <col min="6" max="6" width="5.85546875" style="2" customWidth="1"/>
    <col min="7" max="7" width="6" style="2" customWidth="1"/>
    <col min="8" max="9" width="12.5703125" style="2" hidden="1" customWidth="1"/>
    <col min="10" max="10" width="24.5703125" style="44" hidden="1" customWidth="1"/>
    <col min="11" max="11" width="47.28515625" style="44" customWidth="1"/>
    <col min="12" max="12" width="22.85546875" style="44" hidden="1" customWidth="1"/>
    <col min="13" max="13" width="0" hidden="1" customWidth="1"/>
    <col min="14" max="15" width="11.7109375" customWidth="1"/>
  </cols>
  <sheetData>
    <row r="1" spans="1:15" x14ac:dyDescent="0.2">
      <c r="A1" s="32" t="s">
        <v>495</v>
      </c>
      <c r="B1" s="33" t="s">
        <v>675</v>
      </c>
      <c r="C1" s="34" t="s">
        <v>676</v>
      </c>
      <c r="D1" s="160" t="s">
        <v>8</v>
      </c>
      <c r="E1" s="35" t="s">
        <v>677</v>
      </c>
      <c r="F1" s="36" t="s">
        <v>10</v>
      </c>
      <c r="G1" s="5" t="s">
        <v>11</v>
      </c>
      <c r="H1" s="5" t="s">
        <v>12</v>
      </c>
      <c r="I1" s="5" t="s">
        <v>13</v>
      </c>
      <c r="J1" s="32" t="s">
        <v>503</v>
      </c>
      <c r="K1" s="32" t="s">
        <v>678</v>
      </c>
      <c r="L1" s="32" t="s">
        <v>679</v>
      </c>
      <c r="N1" s="15">
        <f ca="1">TODAY()</f>
        <v>46183</v>
      </c>
      <c r="O1" s="15">
        <f ca="1">TODAY()+61</f>
        <v>46244</v>
      </c>
    </row>
    <row r="2" spans="1:15" x14ac:dyDescent="0.2">
      <c r="A2" s="37" t="s">
        <v>680</v>
      </c>
      <c r="B2" s="1634" t="s">
        <v>681</v>
      </c>
      <c r="C2" s="38">
        <v>401404</v>
      </c>
      <c r="D2" s="177" t="s">
        <v>682</v>
      </c>
      <c r="E2" s="1628">
        <v>2</v>
      </c>
      <c r="F2" s="1631">
        <v>2</v>
      </c>
      <c r="G2" s="1625">
        <f>COUNTIF(D2:D3, "S")</f>
        <v>2</v>
      </c>
      <c r="H2" s="1622">
        <f>G2/E2</f>
        <v>1</v>
      </c>
      <c r="I2" s="1622">
        <f>IF(G2/F2&gt;1,1,G2/F2)</f>
        <v>1</v>
      </c>
      <c r="J2" s="39" t="s">
        <v>683</v>
      </c>
      <c r="K2" s="40" t="s">
        <v>683</v>
      </c>
      <c r="L2" s="40" t="s">
        <v>683</v>
      </c>
      <c r="N2" s="15"/>
      <c r="O2" s="15"/>
    </row>
    <row r="3" spans="1:15" x14ac:dyDescent="0.2">
      <c r="A3" s="37" t="s">
        <v>684</v>
      </c>
      <c r="B3" s="1634"/>
      <c r="C3" s="38">
        <v>401404</v>
      </c>
      <c r="D3" s="177" t="s">
        <v>682</v>
      </c>
      <c r="E3" s="1630"/>
      <c r="F3" s="1633"/>
      <c r="G3" s="1627"/>
      <c r="H3" s="1624"/>
      <c r="I3" s="1624"/>
      <c r="J3" s="39" t="s">
        <v>78</v>
      </c>
      <c r="K3" s="40" t="s">
        <v>683</v>
      </c>
      <c r="L3" s="40" t="s">
        <v>78</v>
      </c>
      <c r="N3" s="15"/>
      <c r="O3" s="15"/>
    </row>
    <row r="4" spans="1:15" x14ac:dyDescent="0.2">
      <c r="A4" s="37" t="s">
        <v>685</v>
      </c>
      <c r="B4" s="1634" t="s">
        <v>686</v>
      </c>
      <c r="C4" s="38">
        <v>401404</v>
      </c>
      <c r="D4" s="177" t="s">
        <v>682</v>
      </c>
      <c r="E4" s="1628">
        <v>6</v>
      </c>
      <c r="F4" s="1631">
        <v>2</v>
      </c>
      <c r="G4" s="1625">
        <f>COUNTIF(D4:D9,"S")</f>
        <v>6</v>
      </c>
      <c r="H4" s="1622">
        <f>G4/E4</f>
        <v>1</v>
      </c>
      <c r="I4" s="1622">
        <f>IF(G4/F4&gt;1,1,G4/F4)</f>
        <v>1</v>
      </c>
      <c r="J4" s="39" t="s">
        <v>683</v>
      </c>
      <c r="K4" s="40" t="s">
        <v>683</v>
      </c>
      <c r="L4" s="40" t="s">
        <v>683</v>
      </c>
      <c r="N4" s="158" t="s">
        <v>682</v>
      </c>
      <c r="O4" s="16"/>
    </row>
    <row r="5" spans="1:15" x14ac:dyDescent="0.2">
      <c r="A5" s="37" t="s">
        <v>687</v>
      </c>
      <c r="B5" s="1634"/>
      <c r="C5" s="38">
        <v>401404</v>
      </c>
      <c r="D5" s="177" t="s">
        <v>682</v>
      </c>
      <c r="E5" s="1629"/>
      <c r="F5" s="1632"/>
      <c r="G5" s="1626"/>
      <c r="H5" s="1623"/>
      <c r="I5" s="1623"/>
      <c r="J5" s="39" t="s">
        <v>683</v>
      </c>
      <c r="K5" s="40" t="s">
        <v>683</v>
      </c>
      <c r="L5" s="40" t="s">
        <v>683</v>
      </c>
      <c r="N5" s="159" t="s">
        <v>688</v>
      </c>
      <c r="O5" s="41"/>
    </row>
    <row r="6" spans="1:15" x14ac:dyDescent="0.2">
      <c r="A6" s="37" t="s">
        <v>689</v>
      </c>
      <c r="B6" s="1634"/>
      <c r="C6" s="38">
        <v>401404</v>
      </c>
      <c r="D6" s="177" t="s">
        <v>682</v>
      </c>
      <c r="E6" s="1629"/>
      <c r="F6" s="1632"/>
      <c r="G6" s="1626"/>
      <c r="H6" s="1623"/>
      <c r="I6" s="1623"/>
      <c r="J6" s="39" t="s">
        <v>78</v>
      </c>
      <c r="K6" s="40" t="s">
        <v>78</v>
      </c>
      <c r="L6" s="40" t="s">
        <v>78</v>
      </c>
      <c r="N6" s="176" t="s">
        <v>690</v>
      </c>
      <c r="O6" s="41"/>
    </row>
    <row r="7" spans="1:15" x14ac:dyDescent="0.2">
      <c r="A7" s="37" t="s">
        <v>691</v>
      </c>
      <c r="B7" s="1634"/>
      <c r="C7" s="38">
        <v>401404</v>
      </c>
      <c r="D7" s="177" t="s">
        <v>682</v>
      </c>
      <c r="E7" s="1629"/>
      <c r="F7" s="1632"/>
      <c r="G7" s="1626"/>
      <c r="H7" s="1623"/>
      <c r="I7" s="1623"/>
      <c r="J7" s="39" t="s">
        <v>683</v>
      </c>
      <c r="K7" s="40" t="s">
        <v>683</v>
      </c>
      <c r="L7" s="40" t="s">
        <v>683</v>
      </c>
      <c r="N7" s="159" t="s">
        <v>692</v>
      </c>
      <c r="O7" s="41"/>
    </row>
    <row r="8" spans="1:15" x14ac:dyDescent="0.2">
      <c r="A8" s="37" t="s">
        <v>693</v>
      </c>
      <c r="B8" s="1634"/>
      <c r="C8" s="38">
        <v>401404</v>
      </c>
      <c r="D8" s="177" t="s">
        <v>682</v>
      </c>
      <c r="E8" s="1629"/>
      <c r="F8" s="1632"/>
      <c r="G8" s="1626"/>
      <c r="H8" s="1623"/>
      <c r="I8" s="1623"/>
      <c r="J8" s="39" t="s">
        <v>683</v>
      </c>
      <c r="K8" s="40" t="s">
        <v>683</v>
      </c>
      <c r="L8" s="40" t="s">
        <v>683</v>
      </c>
    </row>
    <row r="9" spans="1:15" x14ac:dyDescent="0.2">
      <c r="A9" s="37" t="s">
        <v>694</v>
      </c>
      <c r="B9" s="1634"/>
      <c r="C9" s="38">
        <v>401404</v>
      </c>
      <c r="D9" s="177" t="s">
        <v>682</v>
      </c>
      <c r="E9" s="1630"/>
      <c r="F9" s="1633"/>
      <c r="G9" s="1627"/>
      <c r="H9" s="1624"/>
      <c r="I9" s="1624"/>
      <c r="J9" s="39" t="s">
        <v>683</v>
      </c>
      <c r="K9" s="40" t="s">
        <v>683</v>
      </c>
      <c r="L9" s="40" t="s">
        <v>683</v>
      </c>
    </row>
    <row r="10" spans="1:15" x14ac:dyDescent="0.2">
      <c r="A10" s="37" t="s">
        <v>695</v>
      </c>
      <c r="B10" s="1634" t="s">
        <v>696</v>
      </c>
      <c r="C10" s="157"/>
      <c r="D10" s="177" t="s">
        <v>682</v>
      </c>
      <c r="E10" s="1628">
        <v>2</v>
      </c>
      <c r="F10" s="1631">
        <v>2</v>
      </c>
      <c r="G10" s="1625">
        <f>COUNTIF(D10:D11, "S")</f>
        <v>2</v>
      </c>
      <c r="H10" s="1622">
        <f>G10/E10</f>
        <v>1</v>
      </c>
      <c r="I10" s="1622">
        <f>IF(G10/F10&gt;1,1,G10/F10)</f>
        <v>1</v>
      </c>
      <c r="J10" s="39" t="s">
        <v>683</v>
      </c>
      <c r="K10" s="40"/>
      <c r="L10" s="40" t="s">
        <v>697</v>
      </c>
    </row>
    <row r="11" spans="1:15" x14ac:dyDescent="0.2">
      <c r="A11" s="37" t="s">
        <v>698</v>
      </c>
      <c r="B11" s="1634"/>
      <c r="C11" s="157"/>
      <c r="D11" s="177" t="s">
        <v>682</v>
      </c>
      <c r="E11" s="1630"/>
      <c r="F11" s="1633"/>
      <c r="G11" s="1627"/>
      <c r="H11" s="1624"/>
      <c r="I11" s="1624"/>
      <c r="J11" s="39" t="s">
        <v>683</v>
      </c>
      <c r="K11" s="40"/>
      <c r="L11" s="40" t="s">
        <v>699</v>
      </c>
    </row>
    <row r="12" spans="1:15" x14ac:dyDescent="0.2">
      <c r="A12" s="37" t="s">
        <v>700</v>
      </c>
      <c r="B12" s="1634" t="s">
        <v>701</v>
      </c>
      <c r="C12" s="157"/>
      <c r="D12" s="177" t="s">
        <v>682</v>
      </c>
      <c r="E12" s="1628">
        <v>2</v>
      </c>
      <c r="F12" s="1631">
        <v>2</v>
      </c>
      <c r="G12" s="1625">
        <f>COUNTIF(D12:D13, "S")</f>
        <v>2</v>
      </c>
      <c r="H12" s="1622">
        <f>G12/E12</f>
        <v>1</v>
      </c>
      <c r="I12" s="1622">
        <f>IF(G12/F12&gt;1,1,G12/F12)</f>
        <v>1</v>
      </c>
      <c r="J12" s="39" t="s">
        <v>683</v>
      </c>
      <c r="K12" s="40"/>
      <c r="L12" s="40" t="s">
        <v>702</v>
      </c>
    </row>
    <row r="13" spans="1:15" x14ac:dyDescent="0.2">
      <c r="A13" s="37" t="s">
        <v>703</v>
      </c>
      <c r="B13" s="1634"/>
      <c r="C13" s="157"/>
      <c r="D13" s="177" t="s">
        <v>682</v>
      </c>
      <c r="E13" s="1630"/>
      <c r="F13" s="1633"/>
      <c r="G13" s="1627"/>
      <c r="H13" s="1624"/>
      <c r="I13" s="1624"/>
      <c r="J13" s="39" t="s">
        <v>683</v>
      </c>
      <c r="K13" s="40"/>
      <c r="L13" s="40" t="s">
        <v>704</v>
      </c>
    </row>
    <row r="14" spans="1:15" x14ac:dyDescent="0.2">
      <c r="A14" s="37" t="s">
        <v>705</v>
      </c>
      <c r="B14" s="1634" t="s">
        <v>706</v>
      </c>
      <c r="C14" s="38">
        <v>401404</v>
      </c>
      <c r="D14" s="177" t="s">
        <v>682</v>
      </c>
      <c r="E14" s="1628">
        <v>12</v>
      </c>
      <c r="F14" s="1631">
        <v>4</v>
      </c>
      <c r="G14" s="1625">
        <f>COUNTIF(D14:D25,"S")</f>
        <v>12</v>
      </c>
      <c r="H14" s="1622">
        <f>G14/E14</f>
        <v>1</v>
      </c>
      <c r="I14" s="1622">
        <f>IF(G14/F14&gt;1,1,G14/F14)</f>
        <v>1</v>
      </c>
      <c r="J14" s="39" t="s">
        <v>683</v>
      </c>
      <c r="K14" s="40" t="s">
        <v>683</v>
      </c>
      <c r="L14" s="40" t="s">
        <v>683</v>
      </c>
    </row>
    <row r="15" spans="1:15" x14ac:dyDescent="0.2">
      <c r="A15" s="37" t="s">
        <v>707</v>
      </c>
      <c r="B15" s="1634"/>
      <c r="C15" s="38">
        <v>401404</v>
      </c>
      <c r="D15" s="177" t="s">
        <v>682</v>
      </c>
      <c r="E15" s="1629"/>
      <c r="F15" s="1632"/>
      <c r="G15" s="1626"/>
      <c r="H15" s="1623"/>
      <c r="I15" s="1623"/>
      <c r="J15" s="39" t="s">
        <v>683</v>
      </c>
      <c r="K15" s="40" t="s">
        <v>683</v>
      </c>
      <c r="L15" s="40" t="s">
        <v>683</v>
      </c>
    </row>
    <row r="16" spans="1:15" x14ac:dyDescent="0.2">
      <c r="A16" s="37" t="s">
        <v>708</v>
      </c>
      <c r="B16" s="1634"/>
      <c r="C16" s="38">
        <v>401404</v>
      </c>
      <c r="D16" s="177" t="s">
        <v>682</v>
      </c>
      <c r="E16" s="1629"/>
      <c r="F16" s="1632"/>
      <c r="G16" s="1626"/>
      <c r="H16" s="1623"/>
      <c r="I16" s="1623"/>
      <c r="J16" s="39" t="s">
        <v>683</v>
      </c>
      <c r="K16" s="40" t="s">
        <v>683</v>
      </c>
      <c r="L16" s="40" t="s">
        <v>683</v>
      </c>
    </row>
    <row r="17" spans="1:12" x14ac:dyDescent="0.2">
      <c r="A17" s="37" t="s">
        <v>709</v>
      </c>
      <c r="B17" s="1634"/>
      <c r="C17" s="38">
        <v>401404</v>
      </c>
      <c r="D17" s="177" t="s">
        <v>682</v>
      </c>
      <c r="E17" s="1629"/>
      <c r="F17" s="1632"/>
      <c r="G17" s="1626"/>
      <c r="H17" s="1623"/>
      <c r="I17" s="1623"/>
      <c r="J17" s="39" t="s">
        <v>683</v>
      </c>
      <c r="K17" s="40" t="s">
        <v>683</v>
      </c>
      <c r="L17" s="40" t="s">
        <v>683</v>
      </c>
    </row>
    <row r="18" spans="1:12" x14ac:dyDescent="0.2">
      <c r="A18" s="37" t="s">
        <v>710</v>
      </c>
      <c r="B18" s="1634"/>
      <c r="C18" s="38">
        <v>401404</v>
      </c>
      <c r="D18" s="177" t="s">
        <v>682</v>
      </c>
      <c r="E18" s="1629"/>
      <c r="F18" s="1632"/>
      <c r="G18" s="1626"/>
      <c r="H18" s="1623"/>
      <c r="I18" s="1623"/>
      <c r="J18" s="39" t="s">
        <v>683</v>
      </c>
      <c r="K18" s="40" t="s">
        <v>683</v>
      </c>
      <c r="L18" s="40" t="s">
        <v>683</v>
      </c>
    </row>
    <row r="19" spans="1:12" x14ac:dyDescent="0.2">
      <c r="A19" s="37" t="s">
        <v>711</v>
      </c>
      <c r="B19" s="1634"/>
      <c r="C19" s="38">
        <v>401404</v>
      </c>
      <c r="D19" s="177" t="s">
        <v>682</v>
      </c>
      <c r="E19" s="1629"/>
      <c r="F19" s="1632"/>
      <c r="G19" s="1626"/>
      <c r="H19" s="1623"/>
      <c r="I19" s="1623"/>
      <c r="J19" s="39" t="s">
        <v>683</v>
      </c>
      <c r="K19" s="40" t="s">
        <v>683</v>
      </c>
      <c r="L19" s="40" t="s">
        <v>683</v>
      </c>
    </row>
    <row r="20" spans="1:12" x14ac:dyDescent="0.2">
      <c r="A20" s="37" t="s">
        <v>712</v>
      </c>
      <c r="B20" s="1634"/>
      <c r="C20" s="38">
        <v>401404</v>
      </c>
      <c r="D20" s="177" t="s">
        <v>682</v>
      </c>
      <c r="E20" s="1629"/>
      <c r="F20" s="1632"/>
      <c r="G20" s="1626"/>
      <c r="H20" s="1623"/>
      <c r="I20" s="1623"/>
      <c r="J20" s="39" t="s">
        <v>683</v>
      </c>
      <c r="K20" s="40" t="s">
        <v>683</v>
      </c>
      <c r="L20" s="40" t="s">
        <v>683</v>
      </c>
    </row>
    <row r="21" spans="1:12" x14ac:dyDescent="0.2">
      <c r="A21" s="37" t="s">
        <v>713</v>
      </c>
      <c r="B21" s="1634"/>
      <c r="C21" s="38">
        <v>401404</v>
      </c>
      <c r="D21" s="177" t="s">
        <v>682</v>
      </c>
      <c r="E21" s="1629"/>
      <c r="F21" s="1632"/>
      <c r="G21" s="1626"/>
      <c r="H21" s="1623"/>
      <c r="I21" s="1623"/>
      <c r="J21" s="39" t="s">
        <v>78</v>
      </c>
      <c r="K21" s="40" t="s">
        <v>683</v>
      </c>
      <c r="L21" s="40" t="s">
        <v>78</v>
      </c>
    </row>
    <row r="22" spans="1:12" x14ac:dyDescent="0.2">
      <c r="A22" s="37" t="s">
        <v>714</v>
      </c>
      <c r="B22" s="1634"/>
      <c r="C22" s="38">
        <v>401404</v>
      </c>
      <c r="D22" s="177" t="s">
        <v>682</v>
      </c>
      <c r="E22" s="1629"/>
      <c r="F22" s="1632"/>
      <c r="G22" s="1626"/>
      <c r="H22" s="1623"/>
      <c r="I22" s="1623"/>
      <c r="J22" s="39" t="s">
        <v>78</v>
      </c>
      <c r="K22" s="40" t="s">
        <v>683</v>
      </c>
      <c r="L22" s="40" t="s">
        <v>78</v>
      </c>
    </row>
    <row r="23" spans="1:12" x14ac:dyDescent="0.2">
      <c r="A23" s="37" t="s">
        <v>715</v>
      </c>
      <c r="B23" s="1634"/>
      <c r="C23" s="38">
        <v>401404</v>
      </c>
      <c r="D23" s="177" t="s">
        <v>682</v>
      </c>
      <c r="E23" s="1629"/>
      <c r="F23" s="1632"/>
      <c r="G23" s="1626"/>
      <c r="H23" s="1623"/>
      <c r="I23" s="1623"/>
      <c r="J23" s="39" t="s">
        <v>683</v>
      </c>
      <c r="K23" s="40" t="s">
        <v>683</v>
      </c>
      <c r="L23" s="40" t="s">
        <v>683</v>
      </c>
    </row>
    <row r="24" spans="1:12" x14ac:dyDescent="0.2">
      <c r="A24" s="37" t="s">
        <v>716</v>
      </c>
      <c r="B24" s="1634"/>
      <c r="C24" s="38">
        <v>401404</v>
      </c>
      <c r="D24" s="177" t="s">
        <v>682</v>
      </c>
      <c r="E24" s="1629"/>
      <c r="F24" s="1632"/>
      <c r="G24" s="1626"/>
      <c r="H24" s="1623"/>
      <c r="I24" s="1623"/>
      <c r="J24" s="39" t="s">
        <v>683</v>
      </c>
      <c r="K24" s="40" t="s">
        <v>683</v>
      </c>
      <c r="L24" s="40" t="s">
        <v>683</v>
      </c>
    </row>
    <row r="25" spans="1:12" x14ac:dyDescent="0.2">
      <c r="A25" s="37" t="s">
        <v>717</v>
      </c>
      <c r="B25" s="1634"/>
      <c r="C25" s="38">
        <v>401404</v>
      </c>
      <c r="D25" s="177" t="s">
        <v>682</v>
      </c>
      <c r="E25" s="1630"/>
      <c r="F25" s="1633"/>
      <c r="G25" s="1627"/>
      <c r="H25" s="1624"/>
      <c r="I25" s="1624"/>
      <c r="J25" s="39" t="s">
        <v>683</v>
      </c>
      <c r="K25" s="40" t="s">
        <v>683</v>
      </c>
      <c r="L25" s="40" t="s">
        <v>683</v>
      </c>
    </row>
    <row r="26" spans="1:12" x14ac:dyDescent="0.2">
      <c r="A26" s="37" t="s">
        <v>718</v>
      </c>
      <c r="B26" s="1634" t="s">
        <v>719</v>
      </c>
      <c r="C26" s="38">
        <v>401404</v>
      </c>
      <c r="D26" s="177" t="s">
        <v>682</v>
      </c>
      <c r="E26" s="1628">
        <v>3</v>
      </c>
      <c r="F26" s="1631">
        <v>1</v>
      </c>
      <c r="G26" s="1625">
        <f>COUNTIF(D26:D28,"S")</f>
        <v>3</v>
      </c>
      <c r="H26" s="1622">
        <f>G26/E26</f>
        <v>1</v>
      </c>
      <c r="I26" s="1622">
        <f>IF(G26/F26&gt;1,1,G26/F26)</f>
        <v>1</v>
      </c>
      <c r="J26" s="39" t="s">
        <v>78</v>
      </c>
      <c r="K26" s="40" t="s">
        <v>683</v>
      </c>
      <c r="L26" s="40" t="s">
        <v>720</v>
      </c>
    </row>
    <row r="27" spans="1:12" x14ac:dyDescent="0.2">
      <c r="A27" s="37" t="s">
        <v>721</v>
      </c>
      <c r="B27" s="1634"/>
      <c r="C27" s="38">
        <v>401404</v>
      </c>
      <c r="D27" s="177" t="s">
        <v>682</v>
      </c>
      <c r="E27" s="1629"/>
      <c r="F27" s="1632"/>
      <c r="G27" s="1626"/>
      <c r="H27" s="1623"/>
      <c r="I27" s="1623"/>
      <c r="J27" s="39" t="s">
        <v>78</v>
      </c>
      <c r="K27" s="40" t="s">
        <v>683</v>
      </c>
      <c r="L27" s="40" t="s">
        <v>722</v>
      </c>
    </row>
    <row r="28" spans="1:12" x14ac:dyDescent="0.2">
      <c r="A28" s="37" t="s">
        <v>723</v>
      </c>
      <c r="B28" s="1634"/>
      <c r="C28" s="38">
        <v>401404</v>
      </c>
      <c r="D28" s="177" t="s">
        <v>682</v>
      </c>
      <c r="E28" s="1630"/>
      <c r="F28" s="1633"/>
      <c r="G28" s="1627"/>
      <c r="H28" s="1624"/>
      <c r="I28" s="1624"/>
      <c r="J28" s="39" t="s">
        <v>78</v>
      </c>
      <c r="K28" s="40"/>
      <c r="L28" s="40" t="s">
        <v>724</v>
      </c>
    </row>
    <row r="29" spans="1:12" x14ac:dyDescent="0.2">
      <c r="A29" s="37" t="s">
        <v>725</v>
      </c>
      <c r="B29" s="1634" t="s">
        <v>726</v>
      </c>
      <c r="C29" s="38">
        <v>41352</v>
      </c>
      <c r="D29" s="177" t="s">
        <v>682</v>
      </c>
      <c r="E29" s="1628">
        <v>3</v>
      </c>
      <c r="F29" s="1631">
        <v>1</v>
      </c>
      <c r="G29" s="1625">
        <f>COUNTIF(D29:D31,"S")</f>
        <v>3</v>
      </c>
      <c r="H29" s="1622">
        <f>G29/E29</f>
        <v>1</v>
      </c>
      <c r="I29" s="1622">
        <f>IF(G29/F29&gt;1,1,G29/F29)</f>
        <v>1</v>
      </c>
      <c r="J29" s="39" t="s">
        <v>78</v>
      </c>
      <c r="K29" s="40" t="s">
        <v>727</v>
      </c>
      <c r="L29" s="40" t="s">
        <v>728</v>
      </c>
    </row>
    <row r="30" spans="1:12" x14ac:dyDescent="0.2">
      <c r="A30" s="37" t="s">
        <v>729</v>
      </c>
      <c r="B30" s="1634"/>
      <c r="C30" s="38">
        <v>41352</v>
      </c>
      <c r="D30" s="177" t="s">
        <v>682</v>
      </c>
      <c r="E30" s="1629"/>
      <c r="F30" s="1632"/>
      <c r="G30" s="1626"/>
      <c r="H30" s="1623"/>
      <c r="I30" s="1623"/>
      <c r="J30" s="39" t="s">
        <v>78</v>
      </c>
      <c r="K30" s="40" t="s">
        <v>730</v>
      </c>
      <c r="L30" s="40" t="s">
        <v>731</v>
      </c>
    </row>
    <row r="31" spans="1:12" x14ac:dyDescent="0.2">
      <c r="A31" s="37" t="s">
        <v>732</v>
      </c>
      <c r="B31" s="1634"/>
      <c r="C31" s="38">
        <v>41352</v>
      </c>
      <c r="D31" s="177" t="s">
        <v>682</v>
      </c>
      <c r="E31" s="1630"/>
      <c r="F31" s="1633"/>
      <c r="G31" s="1627"/>
      <c r="H31" s="1624"/>
      <c r="I31" s="1624"/>
      <c r="J31" s="39" t="s">
        <v>78</v>
      </c>
      <c r="K31" s="40"/>
      <c r="L31" s="40" t="s">
        <v>733</v>
      </c>
    </row>
    <row r="32" spans="1:12" x14ac:dyDescent="0.2">
      <c r="A32" s="37" t="s">
        <v>734</v>
      </c>
      <c r="B32" s="1634" t="s">
        <v>735</v>
      </c>
      <c r="C32" s="38">
        <v>41249</v>
      </c>
      <c r="D32" s="177" t="s">
        <v>682</v>
      </c>
      <c r="E32" s="1628">
        <v>6</v>
      </c>
      <c r="F32" s="1631">
        <v>4</v>
      </c>
      <c r="G32" s="1625">
        <f>COUNTIF(D32:D37,"S")</f>
        <v>6</v>
      </c>
      <c r="H32" s="1622">
        <f>G32/E32</f>
        <v>1</v>
      </c>
      <c r="I32" s="1622">
        <f>IF(G32/F32&gt;1,1,G32/F32)</f>
        <v>1</v>
      </c>
      <c r="J32" s="39" t="s">
        <v>78</v>
      </c>
      <c r="K32" s="40" t="s">
        <v>736</v>
      </c>
      <c r="L32" s="40" t="s">
        <v>737</v>
      </c>
    </row>
    <row r="33" spans="1:12" x14ac:dyDescent="0.2">
      <c r="A33" s="37" t="s">
        <v>738</v>
      </c>
      <c r="B33" s="1634"/>
      <c r="C33" s="38">
        <v>41582</v>
      </c>
      <c r="D33" s="177" t="s">
        <v>682</v>
      </c>
      <c r="E33" s="1629"/>
      <c r="F33" s="1632"/>
      <c r="G33" s="1626"/>
      <c r="H33" s="1623"/>
      <c r="I33" s="1623"/>
      <c r="J33" s="39" t="s">
        <v>78</v>
      </c>
      <c r="K33" s="40"/>
      <c r="L33" s="40" t="s">
        <v>739</v>
      </c>
    </row>
    <row r="34" spans="1:12" x14ac:dyDescent="0.2">
      <c r="A34" s="37" t="s">
        <v>740</v>
      </c>
      <c r="B34" s="1634"/>
      <c r="C34" s="38">
        <v>41648</v>
      </c>
      <c r="D34" s="177" t="s">
        <v>682</v>
      </c>
      <c r="E34" s="1629"/>
      <c r="F34" s="1632"/>
      <c r="G34" s="1626"/>
      <c r="H34" s="1623"/>
      <c r="I34" s="1623"/>
      <c r="J34" s="39" t="s">
        <v>78</v>
      </c>
      <c r="K34" s="40"/>
      <c r="L34" s="40" t="s">
        <v>741</v>
      </c>
    </row>
    <row r="35" spans="1:12" x14ac:dyDescent="0.2">
      <c r="A35" s="37" t="s">
        <v>742</v>
      </c>
      <c r="B35" s="1634"/>
      <c r="C35" s="38">
        <v>41299</v>
      </c>
      <c r="D35" s="177" t="s">
        <v>682</v>
      </c>
      <c r="E35" s="1629"/>
      <c r="F35" s="1632"/>
      <c r="G35" s="1626"/>
      <c r="H35" s="1623"/>
      <c r="I35" s="1623"/>
      <c r="J35" s="39" t="s">
        <v>78</v>
      </c>
      <c r="K35" s="40" t="s">
        <v>743</v>
      </c>
      <c r="L35" s="40" t="s">
        <v>744</v>
      </c>
    </row>
    <row r="36" spans="1:12" x14ac:dyDescent="0.2">
      <c r="A36" s="37" t="s">
        <v>745</v>
      </c>
      <c r="B36" s="1634"/>
      <c r="C36" s="38">
        <v>41395</v>
      </c>
      <c r="D36" s="177" t="s">
        <v>682</v>
      </c>
      <c r="E36" s="1629"/>
      <c r="F36" s="1632"/>
      <c r="G36" s="1626"/>
      <c r="H36" s="1623"/>
      <c r="I36" s="1623"/>
      <c r="J36" s="39" t="s">
        <v>78</v>
      </c>
      <c r="K36" s="40"/>
      <c r="L36" s="40" t="s">
        <v>746</v>
      </c>
    </row>
    <row r="37" spans="1:12" x14ac:dyDescent="0.2">
      <c r="A37" s="37" t="s">
        <v>747</v>
      </c>
      <c r="B37" s="1634"/>
      <c r="C37" s="38">
        <v>41309</v>
      </c>
      <c r="D37" s="177" t="s">
        <v>682</v>
      </c>
      <c r="E37" s="1630"/>
      <c r="F37" s="1633"/>
      <c r="G37" s="1627"/>
      <c r="H37" s="1624"/>
      <c r="I37" s="1624"/>
      <c r="J37" s="39" t="s">
        <v>78</v>
      </c>
      <c r="K37" s="40" t="s">
        <v>683</v>
      </c>
      <c r="L37" s="40" t="s">
        <v>748</v>
      </c>
    </row>
    <row r="38" spans="1:12" x14ac:dyDescent="0.2">
      <c r="A38" s="37" t="s">
        <v>749</v>
      </c>
      <c r="B38" s="1634"/>
      <c r="C38" s="38">
        <v>41457</v>
      </c>
      <c r="D38" s="177" t="s">
        <v>682</v>
      </c>
      <c r="E38" s="1629"/>
      <c r="F38" s="1632"/>
      <c r="G38" s="1626"/>
      <c r="H38" s="1623"/>
      <c r="I38" s="1623"/>
      <c r="J38" s="39" t="s">
        <v>78</v>
      </c>
      <c r="K38" s="40" t="s">
        <v>750</v>
      </c>
      <c r="L38" s="40" t="s">
        <v>751</v>
      </c>
    </row>
    <row r="39" spans="1:12" x14ac:dyDescent="0.2">
      <c r="A39" s="37" t="s">
        <v>752</v>
      </c>
      <c r="B39" s="1634"/>
      <c r="C39" s="38">
        <v>41449</v>
      </c>
      <c r="D39" s="177" t="s">
        <v>682</v>
      </c>
      <c r="E39" s="1629"/>
      <c r="F39" s="1632"/>
      <c r="G39" s="1626"/>
      <c r="H39" s="1623"/>
      <c r="I39" s="1623"/>
      <c r="J39" s="39" t="s">
        <v>78</v>
      </c>
      <c r="K39" s="40" t="s">
        <v>753</v>
      </c>
      <c r="L39" s="40" t="s">
        <v>754</v>
      </c>
    </row>
    <row r="40" spans="1:12" x14ac:dyDescent="0.2">
      <c r="A40" s="37" t="s">
        <v>755</v>
      </c>
      <c r="B40" s="1634"/>
      <c r="C40" s="38">
        <v>41452</v>
      </c>
      <c r="D40" s="177" t="s">
        <v>682</v>
      </c>
      <c r="E40" s="1629"/>
      <c r="F40" s="1632"/>
      <c r="G40" s="1626"/>
      <c r="H40" s="1623"/>
      <c r="I40" s="1623"/>
      <c r="J40" s="39" t="s">
        <v>78</v>
      </c>
      <c r="K40" s="40" t="s">
        <v>750</v>
      </c>
      <c r="L40" s="40" t="s">
        <v>756</v>
      </c>
    </row>
    <row r="41" spans="1:12" x14ac:dyDescent="0.2">
      <c r="A41" s="37" t="s">
        <v>757</v>
      </c>
      <c r="B41" s="1634"/>
      <c r="C41" s="38">
        <v>41449</v>
      </c>
      <c r="D41" s="177" t="s">
        <v>682</v>
      </c>
      <c r="E41" s="1629"/>
      <c r="F41" s="1632"/>
      <c r="G41" s="1626"/>
      <c r="H41" s="1623"/>
      <c r="I41" s="1623"/>
      <c r="J41" s="39" t="s">
        <v>78</v>
      </c>
      <c r="K41" s="40" t="s">
        <v>758</v>
      </c>
      <c r="L41" s="40" t="s">
        <v>759</v>
      </c>
    </row>
    <row r="42" spans="1:12" x14ac:dyDescent="0.2">
      <c r="A42" s="37" t="s">
        <v>760</v>
      </c>
      <c r="B42" s="1634"/>
      <c r="C42" s="38">
        <v>41519</v>
      </c>
      <c r="D42" s="177" t="s">
        <v>682</v>
      </c>
      <c r="E42" s="1629"/>
      <c r="F42" s="1632"/>
      <c r="G42" s="1626"/>
      <c r="H42" s="1623"/>
      <c r="I42" s="1623"/>
      <c r="J42" s="39" t="s">
        <v>78</v>
      </c>
      <c r="K42" s="40" t="s">
        <v>750</v>
      </c>
      <c r="L42" s="40" t="s">
        <v>761</v>
      </c>
    </row>
    <row r="43" spans="1:12" x14ac:dyDescent="0.2">
      <c r="A43" s="37" t="s">
        <v>762</v>
      </c>
      <c r="B43" s="1634"/>
      <c r="C43" s="38">
        <v>41449</v>
      </c>
      <c r="D43" s="177" t="s">
        <v>682</v>
      </c>
      <c r="E43" s="1629"/>
      <c r="F43" s="1632"/>
      <c r="G43" s="1626"/>
      <c r="H43" s="1623"/>
      <c r="I43" s="1623"/>
      <c r="J43" s="39" t="s">
        <v>78</v>
      </c>
      <c r="K43" s="40"/>
      <c r="L43" s="40" t="s">
        <v>763</v>
      </c>
    </row>
    <row r="44" spans="1:12" x14ac:dyDescent="0.2">
      <c r="A44" s="37" t="s">
        <v>764</v>
      </c>
      <c r="B44" s="1634"/>
      <c r="C44" s="38">
        <v>41452</v>
      </c>
      <c r="D44" s="177" t="s">
        <v>682</v>
      </c>
      <c r="E44" s="1629"/>
      <c r="F44" s="1632"/>
      <c r="G44" s="1626"/>
      <c r="H44" s="1623"/>
      <c r="I44" s="1623"/>
      <c r="J44" s="39" t="s">
        <v>78</v>
      </c>
      <c r="K44" s="40" t="s">
        <v>753</v>
      </c>
      <c r="L44" s="40" t="s">
        <v>765</v>
      </c>
    </row>
    <row r="45" spans="1:12" x14ac:dyDescent="0.2">
      <c r="A45" s="37" t="s">
        <v>766</v>
      </c>
      <c r="B45" s="1634"/>
      <c r="C45" s="38">
        <v>41449</v>
      </c>
      <c r="D45" s="177" t="s">
        <v>682</v>
      </c>
      <c r="E45" s="1629"/>
      <c r="F45" s="1632"/>
      <c r="G45" s="1626"/>
      <c r="H45" s="1623"/>
      <c r="I45" s="1623"/>
      <c r="J45" s="39" t="s">
        <v>78</v>
      </c>
      <c r="K45" s="40" t="s">
        <v>753</v>
      </c>
      <c r="L45" s="40" t="s">
        <v>767</v>
      </c>
    </row>
    <row r="46" spans="1:12" x14ac:dyDescent="0.2">
      <c r="A46" s="37" t="s">
        <v>768</v>
      </c>
      <c r="B46" s="1634"/>
      <c r="C46" s="38">
        <v>41452</v>
      </c>
      <c r="D46" s="177" t="s">
        <v>682</v>
      </c>
      <c r="E46" s="1629"/>
      <c r="F46" s="1632"/>
      <c r="G46" s="1626"/>
      <c r="H46" s="1623"/>
      <c r="I46" s="1623"/>
      <c r="J46" s="39" t="s">
        <v>78</v>
      </c>
      <c r="K46" s="40" t="s">
        <v>753</v>
      </c>
      <c r="L46" s="40" t="s">
        <v>769</v>
      </c>
    </row>
    <row r="47" spans="1:12" x14ac:dyDescent="0.2">
      <c r="A47" s="37" t="s">
        <v>770</v>
      </c>
      <c r="B47" s="1634"/>
      <c r="C47" s="38">
        <v>41449</v>
      </c>
      <c r="D47" s="177" t="s">
        <v>682</v>
      </c>
      <c r="E47" s="1629"/>
      <c r="F47" s="1632"/>
      <c r="G47" s="1626"/>
      <c r="H47" s="1623"/>
      <c r="I47" s="1623"/>
      <c r="J47" s="39" t="s">
        <v>78</v>
      </c>
      <c r="K47" s="40" t="s">
        <v>753</v>
      </c>
      <c r="L47" s="40" t="s">
        <v>771</v>
      </c>
    </row>
    <row r="48" spans="1:12" x14ac:dyDescent="0.2">
      <c r="A48" s="37" t="s">
        <v>772</v>
      </c>
      <c r="B48" s="1634"/>
      <c r="C48" s="38">
        <v>41457</v>
      </c>
      <c r="D48" s="177" t="s">
        <v>682</v>
      </c>
      <c r="E48" s="1629"/>
      <c r="F48" s="1632"/>
      <c r="G48" s="1626"/>
      <c r="H48" s="1623"/>
      <c r="I48" s="1623"/>
      <c r="J48" s="39" t="s">
        <v>78</v>
      </c>
      <c r="K48" s="40" t="s">
        <v>750</v>
      </c>
      <c r="L48" s="40" t="s">
        <v>773</v>
      </c>
    </row>
    <row r="49" spans="1:12" x14ac:dyDescent="0.2">
      <c r="A49" s="37" t="s">
        <v>774</v>
      </c>
      <c r="B49" s="1634"/>
      <c r="C49" s="38">
        <v>41457</v>
      </c>
      <c r="D49" s="177" t="s">
        <v>682</v>
      </c>
      <c r="E49" s="1629"/>
      <c r="F49" s="1632"/>
      <c r="G49" s="1626"/>
      <c r="H49" s="1623"/>
      <c r="I49" s="1623"/>
      <c r="J49" s="39" t="s">
        <v>78</v>
      </c>
      <c r="K49" s="40" t="s">
        <v>750</v>
      </c>
      <c r="L49" s="40" t="s">
        <v>775</v>
      </c>
    </row>
    <row r="50" spans="1:12" x14ac:dyDescent="0.2">
      <c r="A50" s="37" t="s">
        <v>776</v>
      </c>
      <c r="B50" s="1634"/>
      <c r="C50" s="38">
        <v>41457</v>
      </c>
      <c r="D50" s="177" t="s">
        <v>682</v>
      </c>
      <c r="E50" s="1629"/>
      <c r="F50" s="1632"/>
      <c r="G50" s="1626"/>
      <c r="H50" s="1623"/>
      <c r="I50" s="1623"/>
      <c r="J50" s="39" t="s">
        <v>78</v>
      </c>
      <c r="K50" s="40" t="s">
        <v>750</v>
      </c>
      <c r="L50" s="40" t="s">
        <v>777</v>
      </c>
    </row>
    <row r="51" spans="1:12" x14ac:dyDescent="0.2">
      <c r="A51" s="37" t="s">
        <v>778</v>
      </c>
      <c r="B51" s="1634"/>
      <c r="C51" s="38">
        <v>41449</v>
      </c>
      <c r="D51" s="177" t="s">
        <v>682</v>
      </c>
      <c r="E51" s="1629"/>
      <c r="F51" s="1632"/>
      <c r="G51" s="1626"/>
      <c r="H51" s="1623"/>
      <c r="I51" s="1623"/>
      <c r="J51" s="39" t="s">
        <v>78</v>
      </c>
      <c r="K51" s="40" t="s">
        <v>753</v>
      </c>
      <c r="L51" s="40" t="s">
        <v>779</v>
      </c>
    </row>
    <row r="52" spans="1:12" x14ac:dyDescent="0.2">
      <c r="A52" s="37" t="s">
        <v>780</v>
      </c>
      <c r="B52" s="1634"/>
      <c r="C52" s="38">
        <v>41449</v>
      </c>
      <c r="D52" s="177" t="s">
        <v>682</v>
      </c>
      <c r="E52" s="1629"/>
      <c r="F52" s="1632"/>
      <c r="G52" s="1626"/>
      <c r="H52" s="1623"/>
      <c r="I52" s="1623"/>
      <c r="J52" s="39" t="s">
        <v>78</v>
      </c>
      <c r="K52" s="40" t="s">
        <v>758</v>
      </c>
      <c r="L52" s="40" t="s">
        <v>781</v>
      </c>
    </row>
    <row r="53" spans="1:12" x14ac:dyDescent="0.2">
      <c r="A53" s="37" t="s">
        <v>782</v>
      </c>
      <c r="B53" s="1634"/>
      <c r="C53" s="38">
        <v>41449</v>
      </c>
      <c r="D53" s="177" t="s">
        <v>682</v>
      </c>
      <c r="E53" s="1630"/>
      <c r="F53" s="1633"/>
      <c r="G53" s="1627"/>
      <c r="H53" s="1624"/>
      <c r="I53" s="1624"/>
      <c r="J53" s="39" t="s">
        <v>78</v>
      </c>
      <c r="K53" s="40" t="s">
        <v>758</v>
      </c>
      <c r="L53" s="40" t="s">
        <v>783</v>
      </c>
    </row>
    <row r="54" spans="1:12" ht="25.5" x14ac:dyDescent="0.2">
      <c r="A54" s="37" t="s">
        <v>784</v>
      </c>
      <c r="B54" s="1634" t="s">
        <v>785</v>
      </c>
      <c r="C54" s="38">
        <v>401404</v>
      </c>
      <c r="D54" s="177" t="s">
        <v>682</v>
      </c>
      <c r="E54" s="1628">
        <v>4</v>
      </c>
      <c r="F54" s="1631">
        <v>4</v>
      </c>
      <c r="G54" s="1625">
        <f>COUNTIF(D54:D57,"S")</f>
        <v>4</v>
      </c>
      <c r="H54" s="1622">
        <f>G54/E54</f>
        <v>1</v>
      </c>
      <c r="I54" s="1622">
        <f>IF(G54/F54&gt;1,1,G54/F54)</f>
        <v>1</v>
      </c>
      <c r="J54" s="39" t="s">
        <v>78</v>
      </c>
      <c r="K54" s="40" t="s">
        <v>786</v>
      </c>
      <c r="L54" s="40" t="s">
        <v>78</v>
      </c>
    </row>
    <row r="55" spans="1:12" ht="25.5" x14ac:dyDescent="0.2">
      <c r="A55" s="37" t="s">
        <v>787</v>
      </c>
      <c r="B55" s="1634"/>
      <c r="C55" s="38">
        <v>401404</v>
      </c>
      <c r="D55" s="177" t="s">
        <v>682</v>
      </c>
      <c r="E55" s="1629"/>
      <c r="F55" s="1632"/>
      <c r="G55" s="1626"/>
      <c r="H55" s="1623"/>
      <c r="I55" s="1623"/>
      <c r="J55" s="39" t="s">
        <v>78</v>
      </c>
      <c r="K55" s="40" t="s">
        <v>786</v>
      </c>
      <c r="L55" s="40" t="s">
        <v>78</v>
      </c>
    </row>
    <row r="56" spans="1:12" ht="25.5" x14ac:dyDescent="0.2">
      <c r="A56" s="37" t="s">
        <v>788</v>
      </c>
      <c r="B56" s="1634"/>
      <c r="C56" s="38">
        <v>401404</v>
      </c>
      <c r="D56" s="177" t="s">
        <v>682</v>
      </c>
      <c r="E56" s="1629"/>
      <c r="F56" s="1632"/>
      <c r="G56" s="1626"/>
      <c r="H56" s="1623"/>
      <c r="I56" s="1623"/>
      <c r="J56" s="39" t="s">
        <v>78</v>
      </c>
      <c r="K56" s="40" t="s">
        <v>786</v>
      </c>
      <c r="L56" s="40" t="s">
        <v>78</v>
      </c>
    </row>
    <row r="57" spans="1:12" ht="25.5" x14ac:dyDescent="0.2">
      <c r="A57" s="37" t="s">
        <v>789</v>
      </c>
      <c r="B57" s="1634"/>
      <c r="C57" s="38">
        <v>401404</v>
      </c>
      <c r="D57" s="177" t="s">
        <v>682</v>
      </c>
      <c r="E57" s="1630"/>
      <c r="F57" s="1633"/>
      <c r="G57" s="1627"/>
      <c r="H57" s="1624"/>
      <c r="I57" s="1624"/>
      <c r="J57" s="39" t="s">
        <v>78</v>
      </c>
      <c r="K57" s="40" t="s">
        <v>786</v>
      </c>
      <c r="L57" s="40" t="s">
        <v>78</v>
      </c>
    </row>
    <row r="58" spans="1:12" x14ac:dyDescent="0.2">
      <c r="A58" s="37" t="s">
        <v>790</v>
      </c>
      <c r="B58" s="1634" t="s">
        <v>791</v>
      </c>
      <c r="C58" s="38">
        <v>401404</v>
      </c>
      <c r="D58" s="177" t="s">
        <v>682</v>
      </c>
      <c r="E58" s="1628">
        <v>4</v>
      </c>
      <c r="F58" s="1631">
        <v>2</v>
      </c>
      <c r="G58" s="1625">
        <f>COUNTIF(D58:D61,"S")</f>
        <v>4</v>
      </c>
      <c r="H58" s="1622">
        <f>G58/E58</f>
        <v>1</v>
      </c>
      <c r="I58" s="1622">
        <f>IF(G58/F58&gt;1,1,G58/F58)</f>
        <v>1</v>
      </c>
      <c r="J58" s="39" t="s">
        <v>78</v>
      </c>
      <c r="K58" s="40" t="s">
        <v>792</v>
      </c>
      <c r="L58" s="40" t="s">
        <v>78</v>
      </c>
    </row>
    <row r="59" spans="1:12" x14ac:dyDescent="0.2">
      <c r="A59" s="37" t="s">
        <v>793</v>
      </c>
      <c r="B59" s="1634"/>
      <c r="C59" s="38">
        <v>401404</v>
      </c>
      <c r="D59" s="177" t="s">
        <v>682</v>
      </c>
      <c r="E59" s="1629"/>
      <c r="F59" s="1632"/>
      <c r="G59" s="1626"/>
      <c r="H59" s="1623"/>
      <c r="I59" s="1623"/>
      <c r="J59" s="39" t="s">
        <v>78</v>
      </c>
      <c r="K59" s="40" t="s">
        <v>792</v>
      </c>
      <c r="L59" s="40" t="s">
        <v>78</v>
      </c>
    </row>
    <row r="60" spans="1:12" x14ac:dyDescent="0.2">
      <c r="A60" s="37" t="s">
        <v>794</v>
      </c>
      <c r="B60" s="1634"/>
      <c r="C60" s="38">
        <v>401404</v>
      </c>
      <c r="D60" s="177" t="s">
        <v>682</v>
      </c>
      <c r="E60" s="1629"/>
      <c r="F60" s="1632"/>
      <c r="G60" s="1626"/>
      <c r="H60" s="1623"/>
      <c r="I60" s="1623"/>
      <c r="J60" s="39" t="s">
        <v>78</v>
      </c>
      <c r="K60" s="40" t="s">
        <v>792</v>
      </c>
      <c r="L60" s="40" t="s">
        <v>78</v>
      </c>
    </row>
    <row r="61" spans="1:12" x14ac:dyDescent="0.2">
      <c r="A61" s="37" t="s">
        <v>795</v>
      </c>
      <c r="B61" s="1634"/>
      <c r="C61" s="38">
        <v>401404</v>
      </c>
      <c r="D61" s="177" t="s">
        <v>682</v>
      </c>
      <c r="E61" s="1630"/>
      <c r="F61" s="1633"/>
      <c r="G61" s="1627"/>
      <c r="H61" s="1624"/>
      <c r="I61" s="1624"/>
      <c r="J61" s="39" t="s">
        <v>78</v>
      </c>
      <c r="K61" s="40" t="s">
        <v>792</v>
      </c>
      <c r="L61" s="40" t="s">
        <v>78</v>
      </c>
    </row>
    <row r="62" spans="1:12" x14ac:dyDescent="0.2">
      <c r="A62" s="37" t="s">
        <v>796</v>
      </c>
      <c r="B62" s="1634" t="s">
        <v>797</v>
      </c>
      <c r="C62" s="38">
        <v>41452</v>
      </c>
      <c r="D62" s="177" t="s">
        <v>682</v>
      </c>
      <c r="E62" s="1628">
        <v>24</v>
      </c>
      <c r="F62" s="1631">
        <v>4</v>
      </c>
      <c r="G62" s="1625">
        <f>COUNTIF(D62:D78,"S")</f>
        <v>17</v>
      </c>
      <c r="H62" s="1622">
        <f>G62/E62</f>
        <v>0.70833333333333337</v>
      </c>
      <c r="I62" s="1622">
        <f>IF(G62/F62&gt;1,1,G62/F62)</f>
        <v>1</v>
      </c>
      <c r="J62" s="39" t="s">
        <v>78</v>
      </c>
      <c r="K62" s="40" t="s">
        <v>798</v>
      </c>
      <c r="L62" s="40" t="s">
        <v>799</v>
      </c>
    </row>
    <row r="63" spans="1:12" x14ac:dyDescent="0.2">
      <c r="A63" s="37" t="s">
        <v>800</v>
      </c>
      <c r="B63" s="1634"/>
      <c r="C63" s="38">
        <v>41452</v>
      </c>
      <c r="D63" s="177" t="s">
        <v>682</v>
      </c>
      <c r="E63" s="1629"/>
      <c r="F63" s="1632"/>
      <c r="G63" s="1626"/>
      <c r="H63" s="1623"/>
      <c r="I63" s="1623"/>
      <c r="J63" s="39" t="s">
        <v>78</v>
      </c>
      <c r="K63" s="40" t="s">
        <v>801</v>
      </c>
      <c r="L63" s="40" t="s">
        <v>802</v>
      </c>
    </row>
    <row r="64" spans="1:12" x14ac:dyDescent="0.2">
      <c r="A64" s="37" t="s">
        <v>803</v>
      </c>
      <c r="B64" s="1634"/>
      <c r="C64" s="38">
        <v>41457</v>
      </c>
      <c r="D64" s="177" t="s">
        <v>682</v>
      </c>
      <c r="E64" s="1629"/>
      <c r="F64" s="1632"/>
      <c r="G64" s="1626"/>
      <c r="H64" s="1623"/>
      <c r="I64" s="1623"/>
      <c r="J64" s="39" t="s">
        <v>78</v>
      </c>
      <c r="K64" s="40" t="s">
        <v>804</v>
      </c>
      <c r="L64" s="40" t="s">
        <v>805</v>
      </c>
    </row>
    <row r="65" spans="1:12" x14ac:dyDescent="0.2">
      <c r="A65" s="37" t="s">
        <v>806</v>
      </c>
      <c r="B65" s="1634"/>
      <c r="C65" s="38">
        <v>41457</v>
      </c>
      <c r="D65" s="177" t="s">
        <v>682</v>
      </c>
      <c r="E65" s="1629"/>
      <c r="F65" s="1632"/>
      <c r="G65" s="1626"/>
      <c r="H65" s="1623"/>
      <c r="I65" s="1623"/>
      <c r="J65" s="39" t="s">
        <v>78</v>
      </c>
      <c r="K65" s="40" t="s">
        <v>804</v>
      </c>
      <c r="L65" s="40" t="s">
        <v>807</v>
      </c>
    </row>
    <row r="66" spans="1:12" x14ac:dyDescent="0.2">
      <c r="A66" s="37" t="s">
        <v>808</v>
      </c>
      <c r="B66" s="1634"/>
      <c r="C66" s="38">
        <v>41452</v>
      </c>
      <c r="D66" s="177" t="s">
        <v>682</v>
      </c>
      <c r="E66" s="1629"/>
      <c r="F66" s="1632"/>
      <c r="G66" s="1626"/>
      <c r="H66" s="1623"/>
      <c r="I66" s="1623"/>
      <c r="J66" s="39" t="s">
        <v>78</v>
      </c>
      <c r="K66" s="40" t="s">
        <v>78</v>
      </c>
      <c r="L66" s="40" t="s">
        <v>809</v>
      </c>
    </row>
    <row r="67" spans="1:12" x14ac:dyDescent="0.2">
      <c r="A67" s="37" t="s">
        <v>810</v>
      </c>
      <c r="B67" s="1634"/>
      <c r="C67" s="38">
        <v>41449</v>
      </c>
      <c r="D67" s="177" t="s">
        <v>682</v>
      </c>
      <c r="E67" s="1629"/>
      <c r="F67" s="1632"/>
      <c r="G67" s="1626"/>
      <c r="H67" s="1623"/>
      <c r="I67" s="1623"/>
      <c r="J67" s="39" t="s">
        <v>78</v>
      </c>
      <c r="K67" s="40" t="s">
        <v>798</v>
      </c>
      <c r="L67" s="40" t="s">
        <v>811</v>
      </c>
    </row>
    <row r="68" spans="1:12" x14ac:dyDescent="0.2">
      <c r="A68" s="37" t="s">
        <v>812</v>
      </c>
      <c r="B68" s="1634"/>
      <c r="C68" s="38">
        <v>41452</v>
      </c>
      <c r="D68" s="177" t="s">
        <v>682</v>
      </c>
      <c r="E68" s="1629"/>
      <c r="F68" s="1632"/>
      <c r="G68" s="1626"/>
      <c r="H68" s="1623"/>
      <c r="I68" s="1623"/>
      <c r="J68" s="39" t="s">
        <v>78</v>
      </c>
      <c r="K68" s="40" t="s">
        <v>813</v>
      </c>
      <c r="L68" s="40" t="s">
        <v>814</v>
      </c>
    </row>
    <row r="69" spans="1:12" x14ac:dyDescent="0.2">
      <c r="A69" s="37" t="s">
        <v>815</v>
      </c>
      <c r="B69" s="1634"/>
      <c r="C69" s="38">
        <v>41457</v>
      </c>
      <c r="D69" s="177" t="s">
        <v>682</v>
      </c>
      <c r="E69" s="1629"/>
      <c r="F69" s="1632"/>
      <c r="G69" s="1626"/>
      <c r="H69" s="1623"/>
      <c r="I69" s="1623"/>
      <c r="J69" s="39" t="s">
        <v>78</v>
      </c>
      <c r="K69" s="40" t="s">
        <v>816</v>
      </c>
      <c r="L69" s="40" t="s">
        <v>817</v>
      </c>
    </row>
    <row r="70" spans="1:12" x14ac:dyDescent="0.2">
      <c r="A70" s="37" t="s">
        <v>818</v>
      </c>
      <c r="B70" s="1634"/>
      <c r="C70" s="38">
        <v>41457</v>
      </c>
      <c r="D70" s="177" t="s">
        <v>682</v>
      </c>
      <c r="E70" s="1629"/>
      <c r="F70" s="1632"/>
      <c r="G70" s="1626"/>
      <c r="H70" s="1623"/>
      <c r="I70" s="1623"/>
      <c r="J70" s="39" t="s">
        <v>78</v>
      </c>
      <c r="K70" s="40" t="s">
        <v>816</v>
      </c>
      <c r="L70" s="40" t="s">
        <v>819</v>
      </c>
    </row>
    <row r="71" spans="1:12" x14ac:dyDescent="0.2">
      <c r="A71" s="154" t="s">
        <v>820</v>
      </c>
      <c r="B71" s="1634"/>
      <c r="C71" s="38">
        <v>41520</v>
      </c>
      <c r="D71" s="177" t="s">
        <v>682</v>
      </c>
      <c r="E71" s="1629"/>
      <c r="F71" s="1632"/>
      <c r="G71" s="1626"/>
      <c r="H71" s="1623"/>
      <c r="I71" s="1623"/>
      <c r="J71" s="39" t="s">
        <v>78</v>
      </c>
      <c r="K71" s="40" t="s">
        <v>821</v>
      </c>
      <c r="L71" s="40" t="s">
        <v>822</v>
      </c>
    </row>
    <row r="72" spans="1:12" x14ac:dyDescent="0.2">
      <c r="A72" s="37" t="s">
        <v>823</v>
      </c>
      <c r="B72" s="1634"/>
      <c r="C72" s="38">
        <v>41457</v>
      </c>
      <c r="D72" s="177" t="s">
        <v>682</v>
      </c>
      <c r="E72" s="1629"/>
      <c r="F72" s="1632"/>
      <c r="G72" s="1626"/>
      <c r="H72" s="1623"/>
      <c r="I72" s="1623"/>
      <c r="J72" s="39" t="s">
        <v>78</v>
      </c>
      <c r="K72" s="40" t="s">
        <v>824</v>
      </c>
      <c r="L72" s="40" t="s">
        <v>825</v>
      </c>
    </row>
    <row r="73" spans="1:12" x14ac:dyDescent="0.2">
      <c r="A73" s="37" t="s">
        <v>826</v>
      </c>
      <c r="B73" s="1634"/>
      <c r="C73" s="38">
        <v>41452</v>
      </c>
      <c r="D73" s="177" t="s">
        <v>682</v>
      </c>
      <c r="E73" s="1629"/>
      <c r="F73" s="1632"/>
      <c r="G73" s="1626"/>
      <c r="H73" s="1623"/>
      <c r="I73" s="1623"/>
      <c r="J73" s="39" t="s">
        <v>78</v>
      </c>
      <c r="K73" s="40" t="s">
        <v>827</v>
      </c>
      <c r="L73" s="40" t="s">
        <v>828</v>
      </c>
    </row>
    <row r="74" spans="1:12" x14ac:dyDescent="0.2">
      <c r="A74" s="37" t="s">
        <v>829</v>
      </c>
      <c r="B74" s="1634"/>
      <c r="C74" s="38">
        <v>41452</v>
      </c>
      <c r="D74" s="177" t="s">
        <v>682</v>
      </c>
      <c r="E74" s="1629"/>
      <c r="F74" s="1632"/>
      <c r="G74" s="1626"/>
      <c r="H74" s="1623"/>
      <c r="I74" s="1623"/>
      <c r="J74" s="39" t="s">
        <v>78</v>
      </c>
      <c r="K74" s="40" t="s">
        <v>821</v>
      </c>
      <c r="L74" s="40" t="s">
        <v>830</v>
      </c>
    </row>
    <row r="75" spans="1:12" x14ac:dyDescent="0.2">
      <c r="A75" s="37" t="s">
        <v>831</v>
      </c>
      <c r="B75" s="1634"/>
      <c r="C75" s="38">
        <v>41452</v>
      </c>
      <c r="D75" s="177" t="s">
        <v>682</v>
      </c>
      <c r="E75" s="1629"/>
      <c r="F75" s="1632"/>
      <c r="G75" s="1626"/>
      <c r="H75" s="1623"/>
      <c r="I75" s="1623"/>
      <c r="J75" s="39" t="s">
        <v>78</v>
      </c>
      <c r="K75" s="40" t="s">
        <v>821</v>
      </c>
      <c r="L75" s="40" t="s">
        <v>832</v>
      </c>
    </row>
    <row r="76" spans="1:12" x14ac:dyDescent="0.2">
      <c r="A76" s="37" t="s">
        <v>833</v>
      </c>
      <c r="B76" s="1634"/>
      <c r="C76" s="38">
        <v>41452</v>
      </c>
      <c r="D76" s="177" t="s">
        <v>682</v>
      </c>
      <c r="E76" s="1629"/>
      <c r="F76" s="1632"/>
      <c r="G76" s="1626"/>
      <c r="H76" s="1623"/>
      <c r="I76" s="1623"/>
      <c r="J76" s="39" t="s">
        <v>78</v>
      </c>
      <c r="K76" s="40" t="s">
        <v>824</v>
      </c>
      <c r="L76" s="40" t="s">
        <v>834</v>
      </c>
    </row>
    <row r="77" spans="1:12" x14ac:dyDescent="0.2">
      <c r="A77" s="37" t="s">
        <v>835</v>
      </c>
      <c r="B77" s="1634"/>
      <c r="C77" s="38">
        <v>41452</v>
      </c>
      <c r="D77" s="177" t="s">
        <v>682</v>
      </c>
      <c r="E77" s="1629"/>
      <c r="F77" s="1632"/>
      <c r="G77" s="1626"/>
      <c r="H77" s="1623"/>
      <c r="I77" s="1623"/>
      <c r="J77" s="39" t="s">
        <v>78</v>
      </c>
      <c r="K77" s="40" t="s">
        <v>813</v>
      </c>
      <c r="L77" s="40" t="s">
        <v>836</v>
      </c>
    </row>
    <row r="78" spans="1:12" x14ac:dyDescent="0.2">
      <c r="A78" s="37" t="s">
        <v>837</v>
      </c>
      <c r="B78" s="1634"/>
      <c r="C78" s="38">
        <v>41452</v>
      </c>
      <c r="D78" s="177" t="s">
        <v>682</v>
      </c>
      <c r="E78" s="1630"/>
      <c r="F78" s="1633"/>
      <c r="G78" s="1627"/>
      <c r="H78" s="1624"/>
      <c r="I78" s="1624"/>
      <c r="J78" s="39" t="s">
        <v>78</v>
      </c>
      <c r="K78" s="40" t="s">
        <v>838</v>
      </c>
      <c r="L78" s="40" t="s">
        <v>839</v>
      </c>
    </row>
    <row r="79" spans="1:12" x14ac:dyDescent="0.2">
      <c r="A79" s="37" t="s">
        <v>840</v>
      </c>
      <c r="B79" s="1634" t="s">
        <v>841</v>
      </c>
      <c r="C79" s="38">
        <v>401404</v>
      </c>
      <c r="D79" s="177" t="s">
        <v>682</v>
      </c>
      <c r="E79" s="1628">
        <v>2</v>
      </c>
      <c r="F79" s="1631">
        <v>1</v>
      </c>
      <c r="G79" s="1625">
        <f>COUNTIF(D79:D80, "S")</f>
        <v>2</v>
      </c>
      <c r="H79" s="1622">
        <f>G79/E79</f>
        <v>1</v>
      </c>
      <c r="I79" s="1622">
        <f>IF(G79/F79&gt;1,1,G79/F79)</f>
        <v>1</v>
      </c>
      <c r="J79" s="39" t="s">
        <v>78</v>
      </c>
      <c r="K79" s="40" t="s">
        <v>78</v>
      </c>
      <c r="L79" s="40" t="s">
        <v>78</v>
      </c>
    </row>
    <row r="80" spans="1:12" x14ac:dyDescent="0.2">
      <c r="A80" s="37" t="s">
        <v>842</v>
      </c>
      <c r="B80" s="1634"/>
      <c r="C80" s="38">
        <v>401404</v>
      </c>
      <c r="D80" s="177" t="s">
        <v>682</v>
      </c>
      <c r="E80" s="1630"/>
      <c r="F80" s="1633"/>
      <c r="G80" s="1627"/>
      <c r="H80" s="1624"/>
      <c r="I80" s="1624"/>
      <c r="J80" s="39" t="s">
        <v>78</v>
      </c>
      <c r="K80" s="40" t="s">
        <v>78</v>
      </c>
      <c r="L80" s="40" t="s">
        <v>78</v>
      </c>
    </row>
    <row r="81" spans="1:12" x14ac:dyDescent="0.2">
      <c r="A81" s="37" t="s">
        <v>843</v>
      </c>
      <c r="B81" s="31" t="s">
        <v>844</v>
      </c>
      <c r="C81" s="38">
        <v>401404</v>
      </c>
      <c r="D81" s="177" t="s">
        <v>682</v>
      </c>
      <c r="E81" s="29">
        <v>1</v>
      </c>
      <c r="F81" s="23">
        <v>1</v>
      </c>
      <c r="G81" s="17">
        <f>COUNTIF(D81,"S")</f>
        <v>1</v>
      </c>
      <c r="H81" s="28">
        <f>G81/E81</f>
        <v>1</v>
      </c>
      <c r="I81" s="28">
        <f>IF(G81/F81&gt;1,1,G81/F81)</f>
        <v>1</v>
      </c>
      <c r="J81" s="39" t="s">
        <v>78</v>
      </c>
      <c r="K81" s="40" t="s">
        <v>845</v>
      </c>
      <c r="L81" s="40" t="s">
        <v>78</v>
      </c>
    </row>
    <row r="82" spans="1:12" ht="38.25" x14ac:dyDescent="0.2">
      <c r="A82" s="37" t="s">
        <v>846</v>
      </c>
      <c r="B82" s="31" t="s">
        <v>846</v>
      </c>
      <c r="C82" s="38">
        <v>401404</v>
      </c>
      <c r="D82" s="177" t="s">
        <v>682</v>
      </c>
      <c r="E82" s="1628">
        <v>4</v>
      </c>
      <c r="F82" s="1631">
        <v>4</v>
      </c>
      <c r="G82" s="1625">
        <f>COUNTIF(D82:D85,"S")</f>
        <v>4</v>
      </c>
      <c r="H82" s="1622">
        <f>G82/E82</f>
        <v>1</v>
      </c>
      <c r="I82" s="1622">
        <f>IF(G82/F82&gt;1,1,G82/F82)</f>
        <v>1</v>
      </c>
      <c r="J82" s="39" t="s">
        <v>78</v>
      </c>
      <c r="K82" s="40" t="s">
        <v>78</v>
      </c>
      <c r="L82" s="40" t="s">
        <v>78</v>
      </c>
    </row>
    <row r="83" spans="1:12" ht="38.25" x14ac:dyDescent="0.2">
      <c r="A83" s="37" t="s">
        <v>847</v>
      </c>
      <c r="B83" s="31" t="s">
        <v>847</v>
      </c>
      <c r="C83" s="38">
        <v>401404</v>
      </c>
      <c r="D83" s="177" t="s">
        <v>682</v>
      </c>
      <c r="E83" s="1629"/>
      <c r="F83" s="1632"/>
      <c r="G83" s="1626"/>
      <c r="H83" s="1623"/>
      <c r="I83" s="1623"/>
      <c r="J83" s="39" t="s">
        <v>78</v>
      </c>
      <c r="K83" s="40" t="s">
        <v>78</v>
      </c>
      <c r="L83" s="40" t="s">
        <v>78</v>
      </c>
    </row>
    <row r="84" spans="1:12" ht="38.25" x14ac:dyDescent="0.2">
      <c r="A84" s="37" t="s">
        <v>848</v>
      </c>
      <c r="B84" s="31" t="s">
        <v>848</v>
      </c>
      <c r="C84" s="38">
        <v>401404</v>
      </c>
      <c r="D84" s="177" t="s">
        <v>682</v>
      </c>
      <c r="E84" s="1629"/>
      <c r="F84" s="1632"/>
      <c r="G84" s="1626"/>
      <c r="H84" s="1623"/>
      <c r="I84" s="1623"/>
      <c r="J84" s="39" t="s">
        <v>78</v>
      </c>
      <c r="K84" s="40" t="s">
        <v>78</v>
      </c>
      <c r="L84" s="40" t="s">
        <v>78</v>
      </c>
    </row>
    <row r="85" spans="1:12" ht="38.25" x14ac:dyDescent="0.2">
      <c r="A85" s="37" t="s">
        <v>849</v>
      </c>
      <c r="B85" s="31" t="s">
        <v>849</v>
      </c>
      <c r="C85" s="38">
        <v>401404</v>
      </c>
      <c r="D85" s="177" t="s">
        <v>682</v>
      </c>
      <c r="E85" s="1630"/>
      <c r="F85" s="1633"/>
      <c r="G85" s="1627"/>
      <c r="H85" s="1624"/>
      <c r="I85" s="1624"/>
      <c r="J85" s="39" t="s">
        <v>78</v>
      </c>
      <c r="K85" s="40" t="s">
        <v>78</v>
      </c>
      <c r="L85" s="40" t="s">
        <v>78</v>
      </c>
    </row>
    <row r="86" spans="1:12" x14ac:dyDescent="0.2">
      <c r="A86" s="37" t="s">
        <v>850</v>
      </c>
      <c r="B86" s="31" t="s">
        <v>851</v>
      </c>
      <c r="C86" s="38">
        <v>401404</v>
      </c>
      <c r="D86" s="177" t="s">
        <v>682</v>
      </c>
      <c r="E86" s="29">
        <v>1</v>
      </c>
      <c r="F86" s="23">
        <v>1</v>
      </c>
      <c r="G86" s="17">
        <f>COUNTIF(D86,"S")</f>
        <v>1</v>
      </c>
      <c r="H86" s="28">
        <f>G86/E86</f>
        <v>1</v>
      </c>
      <c r="I86" s="28">
        <f>IF(G86/F86&gt;1,1,G86/F86)</f>
        <v>1</v>
      </c>
      <c r="J86" s="39" t="s">
        <v>78</v>
      </c>
      <c r="K86" s="40" t="s">
        <v>78</v>
      </c>
      <c r="L86" s="40" t="s">
        <v>78</v>
      </c>
    </row>
    <row r="87" spans="1:12" x14ac:dyDescent="0.2">
      <c r="A87" s="37" t="s">
        <v>852</v>
      </c>
      <c r="B87" s="31" t="s">
        <v>853</v>
      </c>
      <c r="C87" s="38">
        <v>401404</v>
      </c>
      <c r="D87" s="177" t="s">
        <v>682</v>
      </c>
      <c r="E87" s="29">
        <v>1</v>
      </c>
      <c r="F87" s="23">
        <v>1</v>
      </c>
      <c r="G87" s="17">
        <f>COUNTIF(D87,"S")</f>
        <v>1</v>
      </c>
      <c r="H87" s="28">
        <f>G87/E87</f>
        <v>1</v>
      </c>
      <c r="I87" s="28">
        <f>IF(G87/F87&gt;1,1,G87/F87)</f>
        <v>1</v>
      </c>
      <c r="J87" s="39" t="s">
        <v>78</v>
      </c>
      <c r="K87" s="40" t="s">
        <v>78</v>
      </c>
      <c r="L87" s="40" t="s">
        <v>78</v>
      </c>
    </row>
    <row r="88" spans="1:12" x14ac:dyDescent="0.2">
      <c r="A88" s="37" t="s">
        <v>854</v>
      </c>
      <c r="B88" s="1634" t="s">
        <v>855</v>
      </c>
      <c r="C88" s="42"/>
      <c r="D88" s="177" t="s">
        <v>682</v>
      </c>
      <c r="E88" s="1628">
        <v>4</v>
      </c>
      <c r="F88" s="1631">
        <v>1</v>
      </c>
      <c r="G88" s="1625">
        <f>COUNTIF(D88:D91,"S")</f>
        <v>4</v>
      </c>
      <c r="H88" s="1622">
        <f>G88/E88</f>
        <v>1</v>
      </c>
      <c r="I88" s="1622">
        <f>IF(G88/F88&gt;1,1,G88/F88)</f>
        <v>1</v>
      </c>
      <c r="J88" s="39" t="s">
        <v>856</v>
      </c>
      <c r="K88" s="40" t="s">
        <v>683</v>
      </c>
      <c r="L88" s="40" t="s">
        <v>857</v>
      </c>
    </row>
    <row r="89" spans="1:12" x14ac:dyDescent="0.2">
      <c r="A89" s="37" t="s">
        <v>858</v>
      </c>
      <c r="B89" s="1634"/>
      <c r="C89" s="42"/>
      <c r="D89" s="177" t="s">
        <v>682</v>
      </c>
      <c r="E89" s="1629"/>
      <c r="F89" s="1632"/>
      <c r="G89" s="1626"/>
      <c r="H89" s="1623"/>
      <c r="I89" s="1623"/>
      <c r="J89" s="39" t="s">
        <v>856</v>
      </c>
      <c r="K89" s="40" t="s">
        <v>683</v>
      </c>
      <c r="L89" s="40" t="s">
        <v>859</v>
      </c>
    </row>
    <row r="90" spans="1:12" x14ac:dyDescent="0.2">
      <c r="A90" s="37" t="s">
        <v>860</v>
      </c>
      <c r="B90" s="1634"/>
      <c r="C90" s="42"/>
      <c r="D90" s="177" t="s">
        <v>682</v>
      </c>
      <c r="E90" s="1629"/>
      <c r="F90" s="1632"/>
      <c r="G90" s="1626"/>
      <c r="H90" s="1623"/>
      <c r="I90" s="1623"/>
      <c r="J90" s="39" t="s">
        <v>856</v>
      </c>
      <c r="K90" s="40" t="s">
        <v>683</v>
      </c>
      <c r="L90" s="40" t="s">
        <v>861</v>
      </c>
    </row>
    <row r="91" spans="1:12" x14ac:dyDescent="0.2">
      <c r="A91" s="37" t="s">
        <v>862</v>
      </c>
      <c r="B91" s="1634"/>
      <c r="C91" s="42"/>
      <c r="D91" s="177" t="s">
        <v>682</v>
      </c>
      <c r="E91" s="1630"/>
      <c r="F91" s="1633"/>
      <c r="G91" s="1627"/>
      <c r="H91" s="1624"/>
      <c r="I91" s="1624"/>
      <c r="J91" s="39" t="s">
        <v>856</v>
      </c>
      <c r="K91" s="40" t="s">
        <v>683</v>
      </c>
      <c r="L91" s="40" t="s">
        <v>863</v>
      </c>
    </row>
    <row r="92" spans="1:12" x14ac:dyDescent="0.2">
      <c r="A92" s="37" t="s">
        <v>864</v>
      </c>
      <c r="B92" s="1634" t="s">
        <v>865</v>
      </c>
      <c r="C92" s="38">
        <v>41318</v>
      </c>
      <c r="D92" s="177" t="s">
        <v>682</v>
      </c>
      <c r="E92" s="1628">
        <v>3</v>
      </c>
      <c r="F92" s="1631">
        <v>1</v>
      </c>
      <c r="G92" s="1625">
        <f>COUNTIF(D92:D94,"S")</f>
        <v>3</v>
      </c>
      <c r="H92" s="1622">
        <f>G92/E92</f>
        <v>1</v>
      </c>
      <c r="I92" s="1622">
        <f>IF(G92/F92&gt;1,1,G92/F92)</f>
        <v>1</v>
      </c>
      <c r="J92" s="39" t="s">
        <v>866</v>
      </c>
      <c r="K92" s="40"/>
      <c r="L92" s="40" t="s">
        <v>78</v>
      </c>
    </row>
    <row r="93" spans="1:12" x14ac:dyDescent="0.2">
      <c r="A93" s="37" t="s">
        <v>867</v>
      </c>
      <c r="B93" s="1634"/>
      <c r="C93" s="38">
        <v>41264</v>
      </c>
      <c r="D93" s="177" t="s">
        <v>682</v>
      </c>
      <c r="E93" s="1629"/>
      <c r="F93" s="1632"/>
      <c r="G93" s="1626"/>
      <c r="H93" s="1623"/>
      <c r="I93" s="1623"/>
      <c r="J93" s="39" t="s">
        <v>866</v>
      </c>
      <c r="K93" s="40" t="s">
        <v>743</v>
      </c>
      <c r="L93" s="40" t="s">
        <v>78</v>
      </c>
    </row>
    <row r="94" spans="1:12" x14ac:dyDescent="0.2">
      <c r="A94" s="37" t="s">
        <v>868</v>
      </c>
      <c r="B94" s="1634"/>
      <c r="C94" s="38" t="s">
        <v>869</v>
      </c>
      <c r="D94" s="177" t="s">
        <v>682</v>
      </c>
      <c r="E94" s="1630"/>
      <c r="F94" s="1633"/>
      <c r="G94" s="1627"/>
      <c r="H94" s="1624"/>
      <c r="I94" s="1624"/>
      <c r="J94" s="39" t="s">
        <v>866</v>
      </c>
      <c r="K94" s="178"/>
      <c r="L94" s="40" t="s">
        <v>78</v>
      </c>
    </row>
    <row r="95" spans="1:12" x14ac:dyDescent="0.2">
      <c r="A95" s="37" t="s">
        <v>870</v>
      </c>
      <c r="B95" s="1634" t="s">
        <v>871</v>
      </c>
      <c r="C95" s="42"/>
      <c r="D95" s="177" t="s">
        <v>682</v>
      </c>
      <c r="E95" s="1628">
        <v>2</v>
      </c>
      <c r="F95" s="1631">
        <v>1</v>
      </c>
      <c r="G95" s="1625">
        <f>COUNTIF(D95:D96, "S")</f>
        <v>2</v>
      </c>
      <c r="H95" s="1622">
        <f>G95/E95</f>
        <v>1</v>
      </c>
      <c r="I95" s="1622">
        <f>IF(G95/F95&gt;1,1,G95/F95)</f>
        <v>1</v>
      </c>
      <c r="J95" s="39" t="s">
        <v>872</v>
      </c>
      <c r="K95" s="40" t="s">
        <v>683</v>
      </c>
      <c r="L95" s="40" t="s">
        <v>873</v>
      </c>
    </row>
    <row r="96" spans="1:12" x14ac:dyDescent="0.2">
      <c r="A96" s="37" t="s">
        <v>874</v>
      </c>
      <c r="B96" s="1634"/>
      <c r="C96" s="42"/>
      <c r="D96" s="177" t="s">
        <v>682</v>
      </c>
      <c r="E96" s="1630"/>
      <c r="F96" s="1633"/>
      <c r="G96" s="1627"/>
      <c r="H96" s="1624"/>
      <c r="I96" s="1624"/>
      <c r="J96" s="39" t="s">
        <v>872</v>
      </c>
      <c r="K96" s="40" t="s">
        <v>683</v>
      </c>
      <c r="L96" s="40" t="s">
        <v>875</v>
      </c>
    </row>
    <row r="97" spans="1:12" x14ac:dyDescent="0.2">
      <c r="A97" s="37" t="s">
        <v>876</v>
      </c>
      <c r="B97" s="1634" t="s">
        <v>877</v>
      </c>
      <c r="C97" s="42"/>
      <c r="D97" s="177" t="s">
        <v>682</v>
      </c>
      <c r="E97" s="1628">
        <v>2</v>
      </c>
      <c r="F97" s="1631">
        <v>1</v>
      </c>
      <c r="G97" s="1625">
        <f>COUNTIF(D97:D98, "S")</f>
        <v>2</v>
      </c>
      <c r="H97" s="1622">
        <f>G97/E97</f>
        <v>1</v>
      </c>
      <c r="I97" s="1622">
        <f>IF(G97/F97&gt;1,1,G97/F97)</f>
        <v>1</v>
      </c>
      <c r="J97" s="39" t="s">
        <v>878</v>
      </c>
      <c r="K97" s="40" t="s">
        <v>683</v>
      </c>
      <c r="L97" s="40" t="s">
        <v>879</v>
      </c>
    </row>
    <row r="98" spans="1:12" x14ac:dyDescent="0.2">
      <c r="A98" s="37" t="s">
        <v>880</v>
      </c>
      <c r="B98" s="1634"/>
      <c r="C98" s="42"/>
      <c r="D98" s="177" t="s">
        <v>682</v>
      </c>
      <c r="E98" s="1630"/>
      <c r="F98" s="1633"/>
      <c r="G98" s="1627"/>
      <c r="H98" s="1624"/>
      <c r="I98" s="1624"/>
      <c r="J98" s="39" t="s">
        <v>878</v>
      </c>
      <c r="K98" s="40" t="s">
        <v>683</v>
      </c>
      <c r="L98" s="40" t="s">
        <v>879</v>
      </c>
    </row>
    <row r="99" spans="1:12" x14ac:dyDescent="0.2">
      <c r="A99" s="37" t="s">
        <v>881</v>
      </c>
      <c r="B99" s="1634" t="s">
        <v>882</v>
      </c>
      <c r="C99" s="38">
        <v>41463</v>
      </c>
      <c r="D99" s="177" t="s">
        <v>682</v>
      </c>
      <c r="E99" s="1628">
        <v>16</v>
      </c>
      <c r="F99" s="1631">
        <v>8</v>
      </c>
      <c r="G99" s="1625">
        <f>COUNTIF(D99:D114,"S")</f>
        <v>15</v>
      </c>
      <c r="H99" s="1622">
        <f>G99/E99</f>
        <v>0.9375</v>
      </c>
      <c r="I99" s="1622">
        <f>IF(G99/F99&gt;1,1,G99/F99)</f>
        <v>1</v>
      </c>
      <c r="J99" s="39" t="s">
        <v>883</v>
      </c>
      <c r="K99" s="40" t="s">
        <v>683</v>
      </c>
      <c r="L99" s="40" t="s">
        <v>884</v>
      </c>
    </row>
    <row r="100" spans="1:12" x14ac:dyDescent="0.2">
      <c r="A100" s="37" t="s">
        <v>885</v>
      </c>
      <c r="B100" s="1634"/>
      <c r="C100" s="38">
        <v>41493</v>
      </c>
      <c r="D100" s="177" t="s">
        <v>682</v>
      </c>
      <c r="E100" s="1629"/>
      <c r="F100" s="1632"/>
      <c r="G100" s="1626"/>
      <c r="H100" s="1623"/>
      <c r="I100" s="1623"/>
      <c r="J100" s="39" t="s">
        <v>883</v>
      </c>
      <c r="K100" s="40" t="s">
        <v>78</v>
      </c>
      <c r="L100" s="40" t="s">
        <v>886</v>
      </c>
    </row>
    <row r="101" spans="1:12" x14ac:dyDescent="0.2">
      <c r="A101" s="37" t="s">
        <v>887</v>
      </c>
      <c r="B101" s="1634"/>
      <c r="C101" s="38">
        <v>401404</v>
      </c>
      <c r="D101" s="177" t="s">
        <v>688</v>
      </c>
      <c r="E101" s="1629"/>
      <c r="F101" s="1632"/>
      <c r="G101" s="1626"/>
      <c r="H101" s="1623"/>
      <c r="I101" s="1623"/>
      <c r="J101" s="39" t="s">
        <v>883</v>
      </c>
      <c r="K101" s="40" t="s">
        <v>888</v>
      </c>
      <c r="L101" s="40" t="s">
        <v>889</v>
      </c>
    </row>
    <row r="102" spans="1:12" x14ac:dyDescent="0.2">
      <c r="A102" s="37" t="s">
        <v>890</v>
      </c>
      <c r="B102" s="1634"/>
      <c r="C102" s="38">
        <v>41239</v>
      </c>
      <c r="D102" s="177" t="s">
        <v>682</v>
      </c>
      <c r="E102" s="1629"/>
      <c r="F102" s="1632"/>
      <c r="G102" s="1626"/>
      <c r="H102" s="1623"/>
      <c r="I102" s="1623"/>
      <c r="J102" s="39" t="s">
        <v>883</v>
      </c>
      <c r="K102" s="40" t="s">
        <v>743</v>
      </c>
      <c r="L102" s="40" t="s">
        <v>891</v>
      </c>
    </row>
    <row r="103" spans="1:12" x14ac:dyDescent="0.2">
      <c r="A103" s="37" t="s">
        <v>892</v>
      </c>
      <c r="B103" s="1634"/>
      <c r="C103" s="38">
        <v>41437</v>
      </c>
      <c r="D103" s="177" t="s">
        <v>682</v>
      </c>
      <c r="E103" s="1629"/>
      <c r="F103" s="1632"/>
      <c r="G103" s="1626"/>
      <c r="H103" s="1623"/>
      <c r="I103" s="1623"/>
      <c r="J103" s="39" t="s">
        <v>883</v>
      </c>
      <c r="K103" s="40" t="s">
        <v>78</v>
      </c>
      <c r="L103" s="40" t="s">
        <v>893</v>
      </c>
    </row>
    <row r="104" spans="1:12" x14ac:dyDescent="0.2">
      <c r="A104" s="37" t="s">
        <v>894</v>
      </c>
      <c r="B104" s="1634"/>
      <c r="C104" s="38">
        <v>41294</v>
      </c>
      <c r="D104" s="177" t="s">
        <v>682</v>
      </c>
      <c r="E104" s="1629"/>
      <c r="F104" s="1632"/>
      <c r="G104" s="1626"/>
      <c r="H104" s="1623"/>
      <c r="I104" s="1623"/>
      <c r="J104" s="39" t="s">
        <v>883</v>
      </c>
      <c r="K104" s="40" t="s">
        <v>743</v>
      </c>
      <c r="L104" s="40" t="s">
        <v>895</v>
      </c>
    </row>
    <row r="105" spans="1:12" x14ac:dyDescent="0.2">
      <c r="A105" s="37" t="s">
        <v>896</v>
      </c>
      <c r="B105" s="1634"/>
      <c r="C105" s="38">
        <v>41439</v>
      </c>
      <c r="D105" s="177" t="s">
        <v>682</v>
      </c>
      <c r="E105" s="1629"/>
      <c r="F105" s="1632"/>
      <c r="G105" s="1626"/>
      <c r="H105" s="1623"/>
      <c r="I105" s="1623"/>
      <c r="J105" s="39" t="s">
        <v>883</v>
      </c>
      <c r="L105" s="40" t="s">
        <v>897</v>
      </c>
    </row>
    <row r="106" spans="1:12" x14ac:dyDescent="0.2">
      <c r="A106" s="37" t="s">
        <v>898</v>
      </c>
      <c r="B106" s="1634"/>
      <c r="C106" s="38">
        <v>41467</v>
      </c>
      <c r="D106" s="177" t="s">
        <v>682</v>
      </c>
      <c r="E106" s="1629"/>
      <c r="F106" s="1632"/>
      <c r="G106" s="1626"/>
      <c r="H106" s="1623"/>
      <c r="I106" s="1623"/>
      <c r="J106" s="39" t="s">
        <v>883</v>
      </c>
      <c r="K106" s="40" t="s">
        <v>78</v>
      </c>
      <c r="L106" s="40" t="s">
        <v>899</v>
      </c>
    </row>
    <row r="107" spans="1:12" x14ac:dyDescent="0.2">
      <c r="A107" s="37" t="s">
        <v>900</v>
      </c>
      <c r="B107" s="1634"/>
      <c r="C107" s="38">
        <v>41555</v>
      </c>
      <c r="D107" s="177" t="s">
        <v>682</v>
      </c>
      <c r="E107" s="1629"/>
      <c r="F107" s="1632"/>
      <c r="G107" s="1626"/>
      <c r="H107" s="1623"/>
      <c r="I107" s="1623"/>
      <c r="J107" s="39" t="s">
        <v>883</v>
      </c>
      <c r="K107" s="40"/>
      <c r="L107" s="40" t="s">
        <v>901</v>
      </c>
    </row>
    <row r="108" spans="1:12" x14ac:dyDescent="0.2">
      <c r="A108" s="37" t="s">
        <v>902</v>
      </c>
      <c r="B108" s="1634"/>
      <c r="C108" s="38">
        <v>41555</v>
      </c>
      <c r="D108" s="177" t="s">
        <v>682</v>
      </c>
      <c r="E108" s="1629"/>
      <c r="F108" s="1632"/>
      <c r="G108" s="1626"/>
      <c r="H108" s="1623"/>
      <c r="I108" s="1623"/>
      <c r="J108" s="39" t="s">
        <v>883</v>
      </c>
      <c r="K108" s="40"/>
      <c r="L108" s="40" t="s">
        <v>903</v>
      </c>
    </row>
    <row r="109" spans="1:12" x14ac:dyDescent="0.2">
      <c r="A109" s="37" t="s">
        <v>904</v>
      </c>
      <c r="B109" s="1634"/>
      <c r="C109" s="38">
        <v>41421</v>
      </c>
      <c r="D109" s="177" t="s">
        <v>682</v>
      </c>
      <c r="E109" s="1629"/>
      <c r="F109" s="1632"/>
      <c r="G109" s="1626"/>
      <c r="H109" s="1623"/>
      <c r="I109" s="1623"/>
      <c r="J109" s="39" t="s">
        <v>883</v>
      </c>
      <c r="K109" s="40" t="s">
        <v>78</v>
      </c>
      <c r="L109" s="40" t="s">
        <v>905</v>
      </c>
    </row>
    <row r="110" spans="1:12" x14ac:dyDescent="0.2">
      <c r="A110" s="37" t="s">
        <v>906</v>
      </c>
      <c r="B110" s="1634"/>
      <c r="C110" s="38">
        <v>41421</v>
      </c>
      <c r="D110" s="177" t="s">
        <v>682</v>
      </c>
      <c r="E110" s="1629"/>
      <c r="F110" s="1632"/>
      <c r="G110" s="1626"/>
      <c r="H110" s="1623"/>
      <c r="I110" s="1623"/>
      <c r="J110" s="39" t="s">
        <v>883</v>
      </c>
      <c r="K110" s="40" t="s">
        <v>78</v>
      </c>
      <c r="L110" s="40" t="s">
        <v>907</v>
      </c>
    </row>
    <row r="111" spans="1:12" x14ac:dyDescent="0.2">
      <c r="A111" s="37" t="s">
        <v>908</v>
      </c>
      <c r="B111" s="1634"/>
      <c r="C111" s="38">
        <v>41568</v>
      </c>
      <c r="D111" s="177" t="s">
        <v>682</v>
      </c>
      <c r="E111" s="1629"/>
      <c r="F111" s="1632"/>
      <c r="G111" s="1626"/>
      <c r="H111" s="1623"/>
      <c r="I111" s="1623"/>
      <c r="J111" s="39" t="s">
        <v>883</v>
      </c>
      <c r="K111" s="40"/>
      <c r="L111" s="40" t="s">
        <v>909</v>
      </c>
    </row>
    <row r="112" spans="1:12" x14ac:dyDescent="0.2">
      <c r="A112" s="37" t="s">
        <v>910</v>
      </c>
      <c r="B112" s="1634"/>
      <c r="C112" s="38">
        <v>41568</v>
      </c>
      <c r="D112" s="177" t="s">
        <v>682</v>
      </c>
      <c r="E112" s="1629"/>
      <c r="F112" s="1632"/>
      <c r="G112" s="1626"/>
      <c r="H112" s="1623"/>
      <c r="I112" s="1623"/>
      <c r="J112" s="39" t="s">
        <v>883</v>
      </c>
      <c r="K112" s="40"/>
      <c r="L112" s="40" t="s">
        <v>911</v>
      </c>
    </row>
    <row r="113" spans="1:12" x14ac:dyDescent="0.2">
      <c r="A113" s="37" t="s">
        <v>912</v>
      </c>
      <c r="B113" s="1634"/>
      <c r="C113" s="38">
        <v>41470</v>
      </c>
      <c r="D113" s="177" t="s">
        <v>682</v>
      </c>
      <c r="E113" s="1629"/>
      <c r="F113" s="1632"/>
      <c r="G113" s="1626"/>
      <c r="H113" s="1623"/>
      <c r="I113" s="1623"/>
      <c r="J113" s="39" t="s">
        <v>883</v>
      </c>
      <c r="K113" s="153"/>
      <c r="L113" s="40" t="s">
        <v>913</v>
      </c>
    </row>
    <row r="114" spans="1:12" x14ac:dyDescent="0.2">
      <c r="A114" s="37" t="s">
        <v>914</v>
      </c>
      <c r="B114" s="1634"/>
      <c r="C114" s="38">
        <v>41470</v>
      </c>
      <c r="D114" s="177" t="s">
        <v>682</v>
      </c>
      <c r="E114" s="1630"/>
      <c r="F114" s="1633"/>
      <c r="G114" s="1627"/>
      <c r="H114" s="1624"/>
      <c r="I114" s="1624"/>
      <c r="J114" s="39" t="s">
        <v>883</v>
      </c>
      <c r="K114" s="40"/>
      <c r="L114" s="40" t="s">
        <v>915</v>
      </c>
    </row>
    <row r="115" spans="1:12" x14ac:dyDescent="0.2">
      <c r="A115" s="37" t="s">
        <v>916</v>
      </c>
      <c r="B115" s="1634" t="s">
        <v>917</v>
      </c>
      <c r="C115" s="38">
        <v>401404</v>
      </c>
      <c r="D115" s="177" t="s">
        <v>682</v>
      </c>
      <c r="E115" s="1628">
        <v>2</v>
      </c>
      <c r="F115" s="1631">
        <v>1</v>
      </c>
      <c r="G115" s="1625">
        <f>COUNTIF(D115:D116, "S")</f>
        <v>2</v>
      </c>
      <c r="H115" s="1622">
        <f>G115/E115</f>
        <v>1</v>
      </c>
      <c r="I115" s="1622">
        <f>IF(G115/F115&gt;1,1,G115/F115)</f>
        <v>1</v>
      </c>
      <c r="J115" s="39" t="s">
        <v>918</v>
      </c>
      <c r="K115" s="40" t="s">
        <v>683</v>
      </c>
      <c r="L115" s="40" t="s">
        <v>919</v>
      </c>
    </row>
    <row r="116" spans="1:12" x14ac:dyDescent="0.2">
      <c r="A116" s="37" t="s">
        <v>920</v>
      </c>
      <c r="B116" s="1634"/>
      <c r="C116" s="38">
        <v>401404</v>
      </c>
      <c r="D116" s="177" t="s">
        <v>682</v>
      </c>
      <c r="E116" s="1630"/>
      <c r="F116" s="1633"/>
      <c r="G116" s="1627"/>
      <c r="H116" s="1624"/>
      <c r="I116" s="1624"/>
      <c r="J116" s="39" t="s">
        <v>918</v>
      </c>
      <c r="K116" s="40" t="s">
        <v>683</v>
      </c>
      <c r="L116" s="40" t="s">
        <v>919</v>
      </c>
    </row>
    <row r="117" spans="1:12" x14ac:dyDescent="0.2">
      <c r="A117" s="37" t="s">
        <v>921</v>
      </c>
      <c r="B117" s="1634" t="s">
        <v>922</v>
      </c>
      <c r="C117" s="38">
        <v>401404</v>
      </c>
      <c r="D117" s="177" t="s">
        <v>682</v>
      </c>
      <c r="E117" s="1628">
        <v>4</v>
      </c>
      <c r="F117" s="1631">
        <v>1</v>
      </c>
      <c r="G117" s="1625">
        <f>COUNTIF(D117:D120, "S")</f>
        <v>4</v>
      </c>
      <c r="H117" s="1622">
        <f>G117/E117</f>
        <v>1</v>
      </c>
      <c r="I117" s="1622">
        <f>IF(G117/F117&gt;1,1,G117/F117)</f>
        <v>1</v>
      </c>
      <c r="J117" s="39" t="s">
        <v>923</v>
      </c>
      <c r="K117" s="40" t="s">
        <v>78</v>
      </c>
      <c r="L117" s="40" t="s">
        <v>78</v>
      </c>
    </row>
    <row r="118" spans="1:12" x14ac:dyDescent="0.2">
      <c r="A118" s="37" t="s">
        <v>924</v>
      </c>
      <c r="B118" s="1634"/>
      <c r="C118" s="38">
        <v>401404</v>
      </c>
      <c r="D118" s="177" t="s">
        <v>682</v>
      </c>
      <c r="E118" s="1629"/>
      <c r="F118" s="1632"/>
      <c r="G118" s="1626"/>
      <c r="H118" s="1623"/>
      <c r="I118" s="1623"/>
      <c r="J118" s="39" t="s">
        <v>923</v>
      </c>
      <c r="K118" s="40"/>
      <c r="L118" s="40"/>
    </row>
    <row r="119" spans="1:12" x14ac:dyDescent="0.2">
      <c r="A119" s="37" t="s">
        <v>925</v>
      </c>
      <c r="B119" s="1634"/>
      <c r="C119" s="38">
        <v>401404</v>
      </c>
      <c r="D119" s="177" t="s">
        <v>682</v>
      </c>
      <c r="E119" s="1629"/>
      <c r="F119" s="1632"/>
      <c r="G119" s="1626"/>
      <c r="H119" s="1623"/>
      <c r="I119" s="1623"/>
      <c r="J119" s="39" t="s">
        <v>923</v>
      </c>
      <c r="K119" s="40"/>
      <c r="L119" s="40"/>
    </row>
    <row r="120" spans="1:12" x14ac:dyDescent="0.2">
      <c r="A120" s="37" t="s">
        <v>926</v>
      </c>
      <c r="B120" s="1634"/>
      <c r="C120" s="38">
        <v>401404</v>
      </c>
      <c r="D120" s="177" t="s">
        <v>682</v>
      </c>
      <c r="E120" s="1630"/>
      <c r="F120" s="1633"/>
      <c r="G120" s="1627"/>
      <c r="H120" s="1624"/>
      <c r="I120" s="1624"/>
      <c r="J120" s="39" t="s">
        <v>923</v>
      </c>
      <c r="K120" s="40" t="s">
        <v>78</v>
      </c>
      <c r="L120" s="40" t="s">
        <v>927</v>
      </c>
    </row>
    <row r="121" spans="1:12" x14ac:dyDescent="0.2">
      <c r="A121" s="37" t="s">
        <v>928</v>
      </c>
      <c r="B121" s="1635" t="s">
        <v>929</v>
      </c>
      <c r="C121" s="38">
        <v>41521</v>
      </c>
      <c r="D121" s="177" t="s">
        <v>682</v>
      </c>
      <c r="E121" s="1628">
        <v>16</v>
      </c>
      <c r="F121" s="1631">
        <v>4</v>
      </c>
      <c r="G121" s="1625">
        <f>COUNTIF(D121:D136,"S")</f>
        <v>16</v>
      </c>
      <c r="H121" s="1622">
        <f>G121/E121</f>
        <v>1</v>
      </c>
      <c r="I121" s="1622">
        <f>IF(G121/F121&gt;1,1,G121/F121)</f>
        <v>1</v>
      </c>
      <c r="J121" s="39" t="s">
        <v>930</v>
      </c>
      <c r="K121" s="40" t="s">
        <v>78</v>
      </c>
      <c r="L121" s="40" t="s">
        <v>931</v>
      </c>
    </row>
    <row r="122" spans="1:12" x14ac:dyDescent="0.2">
      <c r="A122" s="37" t="s">
        <v>932</v>
      </c>
      <c r="B122" s="1636"/>
      <c r="C122" s="38">
        <v>41640</v>
      </c>
      <c r="D122" s="177" t="s">
        <v>682</v>
      </c>
      <c r="E122" s="1629"/>
      <c r="F122" s="1632"/>
      <c r="G122" s="1626"/>
      <c r="H122" s="1623"/>
      <c r="I122" s="1623"/>
      <c r="J122" s="39" t="s">
        <v>930</v>
      </c>
      <c r="K122" s="40"/>
      <c r="L122" s="40" t="s">
        <v>933</v>
      </c>
    </row>
    <row r="123" spans="1:12" x14ac:dyDescent="0.2">
      <c r="A123" s="37" t="s">
        <v>934</v>
      </c>
      <c r="B123" s="1636"/>
      <c r="C123" s="38">
        <v>41530</v>
      </c>
      <c r="D123" s="177" t="s">
        <v>682</v>
      </c>
      <c r="E123" s="1629"/>
      <c r="F123" s="1632"/>
      <c r="G123" s="1626"/>
      <c r="H123" s="1623"/>
      <c r="I123" s="1623"/>
      <c r="J123" s="39" t="s">
        <v>930</v>
      </c>
      <c r="K123" s="40"/>
      <c r="L123" s="40" t="s">
        <v>935</v>
      </c>
    </row>
    <row r="124" spans="1:12" x14ac:dyDescent="0.2">
      <c r="A124" s="37" t="s">
        <v>936</v>
      </c>
      <c r="B124" s="1636"/>
      <c r="C124" s="38">
        <v>41249</v>
      </c>
      <c r="D124" s="177" t="s">
        <v>682</v>
      </c>
      <c r="E124" s="1629"/>
      <c r="F124" s="1632"/>
      <c r="G124" s="1626"/>
      <c r="H124" s="1623"/>
      <c r="I124" s="1623"/>
      <c r="J124" s="39" t="s">
        <v>930</v>
      </c>
      <c r="K124" s="40" t="s">
        <v>743</v>
      </c>
      <c r="L124" s="40" t="s">
        <v>937</v>
      </c>
    </row>
    <row r="125" spans="1:12" x14ac:dyDescent="0.2">
      <c r="A125" s="37" t="s">
        <v>938</v>
      </c>
      <c r="B125" s="1636"/>
      <c r="C125" s="38">
        <v>41582</v>
      </c>
      <c r="D125" s="177" t="s">
        <v>682</v>
      </c>
      <c r="E125" s="1629"/>
      <c r="F125" s="1632"/>
      <c r="G125" s="1626"/>
      <c r="H125" s="1623"/>
      <c r="I125" s="1623"/>
      <c r="J125" s="39" t="s">
        <v>930</v>
      </c>
      <c r="K125" s="40" t="s">
        <v>78</v>
      </c>
      <c r="L125" s="40" t="s">
        <v>939</v>
      </c>
    </row>
    <row r="126" spans="1:12" x14ac:dyDescent="0.2">
      <c r="A126" s="37" t="s">
        <v>940</v>
      </c>
      <c r="B126" s="1636"/>
      <c r="C126" s="38">
        <v>41541</v>
      </c>
      <c r="D126" s="177" t="s">
        <v>682</v>
      </c>
      <c r="E126" s="1629"/>
      <c r="F126" s="1632"/>
      <c r="G126" s="1626"/>
      <c r="H126" s="1623"/>
      <c r="I126" s="1623"/>
      <c r="J126" s="39" t="s">
        <v>930</v>
      </c>
      <c r="K126" s="40"/>
      <c r="L126" s="40" t="s">
        <v>941</v>
      </c>
    </row>
    <row r="127" spans="1:12" x14ac:dyDescent="0.2">
      <c r="A127" s="37" t="s">
        <v>942</v>
      </c>
      <c r="B127" s="1636"/>
      <c r="C127" s="38">
        <v>41541</v>
      </c>
      <c r="D127" s="177" t="s">
        <v>682</v>
      </c>
      <c r="E127" s="1629"/>
      <c r="F127" s="1632"/>
      <c r="G127" s="1626"/>
      <c r="H127" s="1623"/>
      <c r="I127" s="1623"/>
      <c r="J127" s="39" t="s">
        <v>930</v>
      </c>
      <c r="K127" s="43"/>
      <c r="L127" s="40" t="s">
        <v>943</v>
      </c>
    </row>
    <row r="128" spans="1:12" x14ac:dyDescent="0.2">
      <c r="A128" s="37" t="s">
        <v>944</v>
      </c>
      <c r="B128" s="1636"/>
      <c r="C128" s="38">
        <v>41299</v>
      </c>
      <c r="D128" s="177" t="s">
        <v>682</v>
      </c>
      <c r="E128" s="1629"/>
      <c r="F128" s="1632"/>
      <c r="G128" s="1626"/>
      <c r="H128" s="1623"/>
      <c r="I128" s="1623"/>
      <c r="J128" s="39" t="s">
        <v>930</v>
      </c>
      <c r="K128" s="40" t="s">
        <v>945</v>
      </c>
      <c r="L128" s="40" t="s">
        <v>946</v>
      </c>
    </row>
    <row r="129" spans="1:12" x14ac:dyDescent="0.2">
      <c r="A129" s="37" t="s">
        <v>947</v>
      </c>
      <c r="B129" s="1636"/>
      <c r="C129" s="38">
        <v>41395</v>
      </c>
      <c r="D129" s="177" t="s">
        <v>682</v>
      </c>
      <c r="E129" s="1629"/>
      <c r="F129" s="1632"/>
      <c r="G129" s="1626"/>
      <c r="H129" s="1623"/>
      <c r="I129" s="1623"/>
      <c r="J129" s="39" t="s">
        <v>930</v>
      </c>
      <c r="K129" s="40" t="s">
        <v>78</v>
      </c>
      <c r="L129" s="40" t="s">
        <v>948</v>
      </c>
    </row>
    <row r="130" spans="1:12" x14ac:dyDescent="0.2">
      <c r="A130" s="37" t="s">
        <v>949</v>
      </c>
      <c r="B130" s="1636"/>
      <c r="C130" s="38">
        <v>41388</v>
      </c>
      <c r="D130" s="177" t="s">
        <v>682</v>
      </c>
      <c r="E130" s="1629"/>
      <c r="F130" s="1632"/>
      <c r="G130" s="1626"/>
      <c r="H130" s="1623"/>
      <c r="I130" s="1623"/>
      <c r="J130" s="39" t="s">
        <v>930</v>
      </c>
      <c r="K130" s="40" t="s">
        <v>78</v>
      </c>
      <c r="L130" s="40" t="s">
        <v>950</v>
      </c>
    </row>
    <row r="131" spans="1:12" x14ac:dyDescent="0.2">
      <c r="A131" s="37" t="s">
        <v>951</v>
      </c>
      <c r="B131" s="1636"/>
      <c r="C131" s="38">
        <v>41309</v>
      </c>
      <c r="D131" s="177" t="s">
        <v>682</v>
      </c>
      <c r="E131" s="1629"/>
      <c r="F131" s="1632"/>
      <c r="G131" s="1626"/>
      <c r="H131" s="1623"/>
      <c r="I131" s="1623"/>
      <c r="J131" s="39" t="s">
        <v>930</v>
      </c>
      <c r="K131" s="40" t="s">
        <v>78</v>
      </c>
      <c r="L131" s="40" t="s">
        <v>952</v>
      </c>
    </row>
    <row r="132" spans="1:12" x14ac:dyDescent="0.2">
      <c r="A132" s="37" t="s">
        <v>953</v>
      </c>
      <c r="B132" s="1636"/>
      <c r="C132" s="38">
        <v>41648</v>
      </c>
      <c r="D132" s="177" t="s">
        <v>682</v>
      </c>
      <c r="E132" s="1629"/>
      <c r="F132" s="1632"/>
      <c r="G132" s="1626"/>
      <c r="H132" s="1623"/>
      <c r="I132" s="1623"/>
      <c r="J132" s="39" t="s">
        <v>930</v>
      </c>
      <c r="K132" s="40"/>
      <c r="L132" s="40" t="s">
        <v>954</v>
      </c>
    </row>
    <row r="133" spans="1:12" x14ac:dyDescent="0.2">
      <c r="A133" s="37" t="s">
        <v>955</v>
      </c>
      <c r="B133" s="1636"/>
      <c r="C133" s="38">
        <v>41554</v>
      </c>
      <c r="D133" s="177" t="s">
        <v>682</v>
      </c>
      <c r="E133" s="1629"/>
      <c r="F133" s="1632"/>
      <c r="G133" s="1626"/>
      <c r="H133" s="1623"/>
      <c r="I133" s="1623"/>
      <c r="J133" s="39" t="s">
        <v>930</v>
      </c>
      <c r="K133" s="40" t="s">
        <v>78</v>
      </c>
      <c r="L133" s="40" t="s">
        <v>956</v>
      </c>
    </row>
    <row r="134" spans="1:12" x14ac:dyDescent="0.2">
      <c r="A134" s="37" t="s">
        <v>957</v>
      </c>
      <c r="B134" s="1636"/>
      <c r="C134" s="38">
        <v>41555</v>
      </c>
      <c r="D134" s="177" t="s">
        <v>682</v>
      </c>
      <c r="E134" s="1629"/>
      <c r="F134" s="1632"/>
      <c r="G134" s="1626"/>
      <c r="H134" s="1623"/>
      <c r="I134" s="1623"/>
      <c r="J134" s="39" t="s">
        <v>930</v>
      </c>
      <c r="K134" s="40" t="s">
        <v>78</v>
      </c>
      <c r="L134" s="40" t="s">
        <v>958</v>
      </c>
    </row>
    <row r="135" spans="1:12" x14ac:dyDescent="0.2">
      <c r="A135" s="37" t="s">
        <v>959</v>
      </c>
      <c r="B135" s="1636"/>
      <c r="C135" s="38">
        <v>41568</v>
      </c>
      <c r="D135" s="177" t="s">
        <v>682</v>
      </c>
      <c r="E135" s="1629"/>
      <c r="F135" s="1632"/>
      <c r="G135" s="1626"/>
      <c r="H135" s="1623"/>
      <c r="I135" s="1623"/>
      <c r="J135" s="39" t="s">
        <v>930</v>
      </c>
      <c r="K135" s="40" t="s">
        <v>78</v>
      </c>
      <c r="L135" s="40" t="s">
        <v>960</v>
      </c>
    </row>
    <row r="136" spans="1:12" x14ac:dyDescent="0.2">
      <c r="A136" s="37" t="s">
        <v>961</v>
      </c>
      <c r="B136" s="1637"/>
      <c r="C136" s="38">
        <v>41562</v>
      </c>
      <c r="D136" s="177" t="s">
        <v>682</v>
      </c>
      <c r="E136" s="1630"/>
      <c r="F136" s="1633"/>
      <c r="G136" s="1627"/>
      <c r="H136" s="1624"/>
      <c r="I136" s="1624"/>
      <c r="J136" s="39" t="s">
        <v>930</v>
      </c>
      <c r="K136" s="40" t="s">
        <v>78</v>
      </c>
      <c r="L136" s="40" t="s">
        <v>962</v>
      </c>
    </row>
    <row r="137" spans="1:12" x14ac:dyDescent="0.2">
      <c r="A137" s="37" t="s">
        <v>963</v>
      </c>
      <c r="B137" s="1635" t="s">
        <v>964</v>
      </c>
      <c r="C137" s="38">
        <v>41034</v>
      </c>
      <c r="D137" s="177" t="s">
        <v>688</v>
      </c>
      <c r="E137" s="1628">
        <v>6</v>
      </c>
      <c r="F137" s="1631">
        <v>2</v>
      </c>
      <c r="G137" s="1625">
        <f>COUNTIF(D137:D142,"S")</f>
        <v>5</v>
      </c>
      <c r="H137" s="1622">
        <f>G137/E137</f>
        <v>0.83333333333333337</v>
      </c>
      <c r="I137" s="1622">
        <f>IF(G137/F137&gt;1,1,G137/F137)</f>
        <v>1</v>
      </c>
      <c r="J137" s="39" t="s">
        <v>965</v>
      </c>
      <c r="K137" s="40" t="s">
        <v>966</v>
      </c>
      <c r="L137" s="40" t="s">
        <v>967</v>
      </c>
    </row>
    <row r="138" spans="1:12" x14ac:dyDescent="0.2">
      <c r="A138" s="37" t="s">
        <v>968</v>
      </c>
      <c r="B138" s="1636"/>
      <c r="C138" s="38">
        <v>41457</v>
      </c>
      <c r="D138" s="177" t="s">
        <v>682</v>
      </c>
      <c r="E138" s="1629"/>
      <c r="F138" s="1632"/>
      <c r="G138" s="1626"/>
      <c r="H138" s="1623"/>
      <c r="I138" s="1623"/>
      <c r="J138" s="39" t="s">
        <v>965</v>
      </c>
      <c r="K138" s="40"/>
      <c r="L138" s="40" t="s">
        <v>969</v>
      </c>
    </row>
    <row r="139" spans="1:12" x14ac:dyDescent="0.2">
      <c r="A139" s="37" t="s">
        <v>970</v>
      </c>
      <c r="B139" s="1636"/>
      <c r="C139" s="38">
        <v>41470</v>
      </c>
      <c r="D139" s="177" t="s">
        <v>682</v>
      </c>
      <c r="E139" s="1629"/>
      <c r="F139" s="1632"/>
      <c r="G139" s="1626"/>
      <c r="H139" s="1623"/>
      <c r="I139" s="1623"/>
      <c r="J139" s="39" t="s">
        <v>965</v>
      </c>
      <c r="K139" s="40"/>
      <c r="L139" s="40" t="s">
        <v>971</v>
      </c>
    </row>
    <row r="140" spans="1:12" x14ac:dyDescent="0.2">
      <c r="A140" s="37" t="s">
        <v>972</v>
      </c>
      <c r="B140" s="1636"/>
      <c r="C140" s="38">
        <v>41467</v>
      </c>
      <c r="D140" s="177" t="s">
        <v>682</v>
      </c>
      <c r="E140" s="1629"/>
      <c r="F140" s="1632"/>
      <c r="G140" s="1626"/>
      <c r="H140" s="1623"/>
      <c r="I140" s="1623"/>
      <c r="J140" s="39" t="s">
        <v>965</v>
      </c>
      <c r="K140" s="40"/>
      <c r="L140" s="40" t="s">
        <v>973</v>
      </c>
    </row>
    <row r="141" spans="1:12" x14ac:dyDescent="0.2">
      <c r="A141" s="37" t="s">
        <v>974</v>
      </c>
      <c r="B141" s="1636"/>
      <c r="C141" s="38">
        <v>41481</v>
      </c>
      <c r="D141" s="177" t="s">
        <v>682</v>
      </c>
      <c r="E141" s="1629"/>
      <c r="F141" s="1632"/>
      <c r="G141" s="1626"/>
      <c r="H141" s="1623"/>
      <c r="I141" s="1623"/>
      <c r="J141" s="39" t="s">
        <v>965</v>
      </c>
      <c r="K141" s="40" t="s">
        <v>78</v>
      </c>
      <c r="L141" s="40" t="s">
        <v>975</v>
      </c>
    </row>
    <row r="142" spans="1:12" x14ac:dyDescent="0.2">
      <c r="A142" s="37" t="s">
        <v>976</v>
      </c>
      <c r="B142" s="1637"/>
      <c r="C142" s="38">
        <v>41933</v>
      </c>
      <c r="D142" s="177" t="s">
        <v>682</v>
      </c>
      <c r="E142" s="1630"/>
      <c r="F142" s="1633"/>
      <c r="G142" s="1627"/>
      <c r="H142" s="1624"/>
      <c r="I142" s="1624"/>
      <c r="J142" s="39" t="s">
        <v>977</v>
      </c>
      <c r="K142" s="40" t="s">
        <v>78</v>
      </c>
      <c r="L142" s="40" t="s">
        <v>978</v>
      </c>
    </row>
    <row r="143" spans="1:12" ht="25.5" x14ac:dyDescent="0.2">
      <c r="A143" s="37" t="s">
        <v>979</v>
      </c>
      <c r="B143" s="1635" t="s">
        <v>980</v>
      </c>
      <c r="C143" s="38">
        <v>40500</v>
      </c>
      <c r="D143" s="177" t="s">
        <v>688</v>
      </c>
      <c r="E143" s="1628">
        <v>4</v>
      </c>
      <c r="F143" s="1631">
        <v>2</v>
      </c>
      <c r="G143" s="1625">
        <f>COUNTIF(D143:D146,"S")</f>
        <v>3</v>
      </c>
      <c r="H143" s="1622">
        <f>G143/E143</f>
        <v>0.75</v>
      </c>
      <c r="I143" s="1622">
        <f>IF(G143/F143&gt;1,1,G143/F143)</f>
        <v>1</v>
      </c>
      <c r="J143" s="39" t="s">
        <v>78</v>
      </c>
      <c r="K143" s="40" t="s">
        <v>981</v>
      </c>
      <c r="L143" s="40" t="s">
        <v>982</v>
      </c>
    </row>
    <row r="144" spans="1:12" x14ac:dyDescent="0.2">
      <c r="A144" s="37" t="s">
        <v>983</v>
      </c>
      <c r="B144" s="1636"/>
      <c r="C144" s="38">
        <v>41352</v>
      </c>
      <c r="D144" s="177" t="s">
        <v>682</v>
      </c>
      <c r="E144" s="1629"/>
      <c r="F144" s="1632"/>
      <c r="G144" s="1626"/>
      <c r="H144" s="1623"/>
      <c r="I144" s="1623"/>
      <c r="J144" s="39" t="s">
        <v>78</v>
      </c>
      <c r="K144" s="40"/>
      <c r="L144" s="40" t="s">
        <v>984</v>
      </c>
    </row>
    <row r="145" spans="1:12" x14ac:dyDescent="0.2">
      <c r="A145" s="37" t="s">
        <v>985</v>
      </c>
      <c r="B145" s="1636"/>
      <c r="C145" s="38">
        <v>41516</v>
      </c>
      <c r="D145" s="177" t="s">
        <v>682</v>
      </c>
      <c r="E145" s="1629"/>
      <c r="F145" s="1632"/>
      <c r="G145" s="1626"/>
      <c r="H145" s="1623"/>
      <c r="I145" s="1623"/>
      <c r="J145" s="39" t="s">
        <v>879</v>
      </c>
      <c r="K145" s="40" t="s">
        <v>78</v>
      </c>
      <c r="L145" s="40" t="s">
        <v>78</v>
      </c>
    </row>
    <row r="146" spans="1:12" x14ac:dyDescent="0.2">
      <c r="A146" s="37" t="s">
        <v>986</v>
      </c>
      <c r="B146" s="1637"/>
      <c r="C146" s="38">
        <v>41516</v>
      </c>
      <c r="D146" s="177" t="s">
        <v>682</v>
      </c>
      <c r="E146" s="1630"/>
      <c r="F146" s="1633"/>
      <c r="G146" s="1627"/>
      <c r="H146" s="1624"/>
      <c r="I146" s="1624"/>
      <c r="J146" s="39" t="s">
        <v>879</v>
      </c>
      <c r="K146" s="40" t="s">
        <v>78</v>
      </c>
      <c r="L146" s="40" t="s">
        <v>78</v>
      </c>
    </row>
    <row r="147" spans="1:12" x14ac:dyDescent="0.2">
      <c r="A147" s="37" t="s">
        <v>987</v>
      </c>
      <c r="B147" s="1635" t="s">
        <v>988</v>
      </c>
      <c r="C147" s="38">
        <v>41341</v>
      </c>
      <c r="D147" s="177" t="s">
        <v>682</v>
      </c>
      <c r="E147" s="1628">
        <v>10</v>
      </c>
      <c r="F147" s="1631">
        <v>2</v>
      </c>
      <c r="G147" s="1625">
        <f>COUNTIF(D147:D155,"S")</f>
        <v>9</v>
      </c>
      <c r="H147" s="1622">
        <f>G147/E147</f>
        <v>0.9</v>
      </c>
      <c r="I147" s="1622">
        <f>IF(G147/F147&gt;1,1,G147/F147)</f>
        <v>1</v>
      </c>
      <c r="J147" s="39" t="s">
        <v>989</v>
      </c>
      <c r="K147" s="40" t="s">
        <v>78</v>
      </c>
      <c r="L147" s="40" t="s">
        <v>990</v>
      </c>
    </row>
    <row r="148" spans="1:12" x14ac:dyDescent="0.2">
      <c r="A148" s="37" t="s">
        <v>991</v>
      </c>
      <c r="B148" s="1636"/>
      <c r="C148" s="38">
        <v>41618</v>
      </c>
      <c r="D148" s="177" t="s">
        <v>682</v>
      </c>
      <c r="E148" s="1629"/>
      <c r="F148" s="1632"/>
      <c r="G148" s="1626"/>
      <c r="H148" s="1623"/>
      <c r="I148" s="1623"/>
      <c r="J148" s="39" t="s">
        <v>989</v>
      </c>
      <c r="K148" s="40" t="s">
        <v>78</v>
      </c>
      <c r="L148" s="40" t="s">
        <v>78</v>
      </c>
    </row>
    <row r="149" spans="1:12" x14ac:dyDescent="0.2">
      <c r="A149" s="37" t="s">
        <v>992</v>
      </c>
      <c r="B149" s="1636"/>
      <c r="C149" s="38">
        <v>41609</v>
      </c>
      <c r="D149" s="177" t="s">
        <v>682</v>
      </c>
      <c r="E149" s="1629"/>
      <c r="F149" s="1632"/>
      <c r="G149" s="1626"/>
      <c r="H149" s="1623"/>
      <c r="I149" s="1623"/>
      <c r="J149" s="39" t="s">
        <v>989</v>
      </c>
      <c r="K149" s="40" t="s">
        <v>78</v>
      </c>
      <c r="L149" s="40" t="s">
        <v>993</v>
      </c>
    </row>
    <row r="150" spans="1:12" x14ac:dyDescent="0.2">
      <c r="A150" s="37" t="s">
        <v>994</v>
      </c>
      <c r="B150" s="1636"/>
      <c r="C150" s="38">
        <v>41647</v>
      </c>
      <c r="D150" s="177" t="s">
        <v>682</v>
      </c>
      <c r="E150" s="1629"/>
      <c r="F150" s="1632"/>
      <c r="G150" s="1626"/>
      <c r="H150" s="1623"/>
      <c r="I150" s="1623"/>
      <c r="J150" s="39" t="s">
        <v>989</v>
      </c>
      <c r="K150" s="40" t="s">
        <v>78</v>
      </c>
      <c r="L150" s="40" t="s">
        <v>78</v>
      </c>
    </row>
    <row r="151" spans="1:12" x14ac:dyDescent="0.2">
      <c r="A151" s="37" t="s">
        <v>995</v>
      </c>
      <c r="B151" s="1636"/>
      <c r="C151" s="38">
        <v>41562</v>
      </c>
      <c r="D151" s="177" t="s">
        <v>682</v>
      </c>
      <c r="E151" s="1629"/>
      <c r="F151" s="1632"/>
      <c r="G151" s="1626"/>
      <c r="H151" s="1623"/>
      <c r="I151" s="1623"/>
      <c r="J151" s="39" t="s">
        <v>989</v>
      </c>
      <c r="K151" s="40" t="s">
        <v>78</v>
      </c>
      <c r="L151" s="40" t="s">
        <v>78</v>
      </c>
    </row>
    <row r="152" spans="1:12" x14ac:dyDescent="0.2">
      <c r="A152" s="37" t="s">
        <v>996</v>
      </c>
      <c r="B152" s="1636"/>
      <c r="C152" s="38">
        <v>41496</v>
      </c>
      <c r="D152" s="177" t="s">
        <v>682</v>
      </c>
      <c r="E152" s="1629"/>
      <c r="F152" s="1632"/>
      <c r="G152" s="1626"/>
      <c r="H152" s="1623"/>
      <c r="I152" s="1623"/>
      <c r="J152" s="39" t="s">
        <v>989</v>
      </c>
      <c r="K152" s="40"/>
      <c r="L152" s="40" t="s">
        <v>78</v>
      </c>
    </row>
    <row r="153" spans="1:12" x14ac:dyDescent="0.2">
      <c r="A153" s="37" t="s">
        <v>997</v>
      </c>
      <c r="B153" s="1636"/>
      <c r="C153" s="38">
        <v>41489</v>
      </c>
      <c r="D153" s="177" t="s">
        <v>682</v>
      </c>
      <c r="E153" s="1629"/>
      <c r="F153" s="1632"/>
      <c r="G153" s="1626"/>
      <c r="H153" s="1623"/>
      <c r="I153" s="1623"/>
      <c r="J153" s="39" t="s">
        <v>989</v>
      </c>
      <c r="K153" s="40" t="s">
        <v>78</v>
      </c>
      <c r="L153" s="40" t="s">
        <v>998</v>
      </c>
    </row>
    <row r="154" spans="1:12" x14ac:dyDescent="0.2">
      <c r="A154" s="37" t="s">
        <v>999</v>
      </c>
      <c r="B154" s="1636"/>
      <c r="C154" s="38">
        <v>41424</v>
      </c>
      <c r="D154" s="177" t="s">
        <v>682</v>
      </c>
      <c r="E154" s="1629"/>
      <c r="F154" s="1632"/>
      <c r="G154" s="1626"/>
      <c r="H154" s="1623"/>
      <c r="I154" s="1623"/>
      <c r="J154" s="39" t="s">
        <v>989</v>
      </c>
      <c r="K154" s="40" t="s">
        <v>78</v>
      </c>
      <c r="L154" s="40" t="s">
        <v>78</v>
      </c>
    </row>
    <row r="155" spans="1:12" x14ac:dyDescent="0.2">
      <c r="A155" s="37" t="s">
        <v>1000</v>
      </c>
      <c r="B155" s="1637"/>
      <c r="C155" s="38">
        <v>41551</v>
      </c>
      <c r="D155" s="177" t="s">
        <v>682</v>
      </c>
      <c r="E155" s="1630"/>
      <c r="F155" s="1633"/>
      <c r="G155" s="1627"/>
      <c r="H155" s="1624"/>
      <c r="I155" s="1624"/>
      <c r="J155" s="39" t="s">
        <v>989</v>
      </c>
      <c r="K155" s="40" t="s">
        <v>78</v>
      </c>
      <c r="L155" s="40" t="s">
        <v>78</v>
      </c>
    </row>
    <row r="156" spans="1:12" x14ac:dyDescent="0.2">
      <c r="A156" s="37" t="s">
        <v>1001</v>
      </c>
      <c r="B156" s="1636" t="s">
        <v>1002</v>
      </c>
      <c r="C156" s="38">
        <v>41461</v>
      </c>
      <c r="D156" s="177" t="s">
        <v>682</v>
      </c>
      <c r="E156" s="1629">
        <v>17</v>
      </c>
      <c r="F156" s="1632">
        <v>6</v>
      </c>
      <c r="G156" s="1626">
        <f>COUNTIF(D156:D172,"S")</f>
        <v>16</v>
      </c>
      <c r="H156" s="1623"/>
      <c r="I156" s="1623"/>
      <c r="J156" s="39" t="s">
        <v>1003</v>
      </c>
      <c r="K156" s="40"/>
      <c r="L156" s="40" t="s">
        <v>1004</v>
      </c>
    </row>
    <row r="157" spans="1:12" x14ac:dyDescent="0.2">
      <c r="A157" s="37" t="s">
        <v>1005</v>
      </c>
      <c r="B157" s="1636"/>
      <c r="C157" s="38">
        <v>41582</v>
      </c>
      <c r="D157" s="177" t="s">
        <v>682</v>
      </c>
      <c r="E157" s="1629"/>
      <c r="F157" s="1632"/>
      <c r="G157" s="1626"/>
      <c r="H157" s="1623"/>
      <c r="I157" s="1623"/>
      <c r="J157" s="39" t="s">
        <v>1003</v>
      </c>
      <c r="K157" s="40" t="s">
        <v>78</v>
      </c>
      <c r="L157" s="40" t="s">
        <v>78</v>
      </c>
    </row>
    <row r="158" spans="1:12" x14ac:dyDescent="0.2">
      <c r="A158" s="37" t="s">
        <v>1006</v>
      </c>
      <c r="B158" s="1636"/>
      <c r="C158" s="38">
        <v>41261</v>
      </c>
      <c r="D158" s="177" t="s">
        <v>692</v>
      </c>
      <c r="E158" s="1629"/>
      <c r="F158" s="1632"/>
      <c r="G158" s="1626"/>
      <c r="H158" s="1623"/>
      <c r="I158" s="1623"/>
      <c r="J158" s="39" t="s">
        <v>1003</v>
      </c>
      <c r="K158" s="40" t="s">
        <v>1007</v>
      </c>
      <c r="L158" s="40" t="s">
        <v>78</v>
      </c>
    </row>
    <row r="159" spans="1:12" x14ac:dyDescent="0.2">
      <c r="A159" s="37" t="s">
        <v>1008</v>
      </c>
      <c r="B159" s="1636"/>
      <c r="C159" s="38">
        <v>41331</v>
      </c>
      <c r="D159" s="177" t="s">
        <v>682</v>
      </c>
      <c r="E159" s="1629"/>
      <c r="F159" s="1632"/>
      <c r="G159" s="1626"/>
      <c r="H159" s="1623"/>
      <c r="I159" s="1623"/>
      <c r="J159" s="39" t="s">
        <v>1003</v>
      </c>
      <c r="K159" s="40" t="s">
        <v>78</v>
      </c>
      <c r="L159" s="40" t="s">
        <v>78</v>
      </c>
    </row>
    <row r="160" spans="1:12" x14ac:dyDescent="0.2">
      <c r="A160" s="37" t="s">
        <v>1009</v>
      </c>
      <c r="B160" s="1636"/>
      <c r="C160" s="38">
        <v>41309</v>
      </c>
      <c r="D160" s="177" t="s">
        <v>682</v>
      </c>
      <c r="E160" s="1629"/>
      <c r="F160" s="1632"/>
      <c r="G160" s="1626"/>
      <c r="H160" s="1623"/>
      <c r="I160" s="1623"/>
      <c r="J160" s="39" t="s">
        <v>1003</v>
      </c>
      <c r="K160" s="40"/>
      <c r="L160" s="40" t="s">
        <v>78</v>
      </c>
    </row>
    <row r="161" spans="1:12" x14ac:dyDescent="0.2">
      <c r="A161" s="37" t="s">
        <v>1010</v>
      </c>
      <c r="B161" s="1636"/>
      <c r="C161" s="38">
        <v>41427</v>
      </c>
      <c r="D161" s="177" t="s">
        <v>682</v>
      </c>
      <c r="E161" s="1629"/>
      <c r="F161" s="1632"/>
      <c r="G161" s="1626"/>
      <c r="H161" s="1623"/>
      <c r="I161" s="1623"/>
      <c r="J161" s="39" t="s">
        <v>1003</v>
      </c>
      <c r="K161" s="40"/>
      <c r="L161" s="40" t="s">
        <v>78</v>
      </c>
    </row>
    <row r="162" spans="1:12" x14ac:dyDescent="0.2">
      <c r="A162" s="37" t="s">
        <v>1011</v>
      </c>
      <c r="B162" s="1636"/>
      <c r="C162" s="38">
        <v>41327</v>
      </c>
      <c r="D162" s="177" t="s">
        <v>682</v>
      </c>
      <c r="E162" s="1629"/>
      <c r="F162" s="1632"/>
      <c r="G162" s="1626"/>
      <c r="H162" s="1623"/>
      <c r="I162" s="1623"/>
      <c r="J162" s="39" t="s">
        <v>1003</v>
      </c>
      <c r="K162" s="40"/>
      <c r="L162" s="40" t="s">
        <v>78</v>
      </c>
    </row>
    <row r="163" spans="1:12" x14ac:dyDescent="0.2">
      <c r="A163" s="37" t="s">
        <v>1012</v>
      </c>
      <c r="B163" s="1636"/>
      <c r="C163" s="38">
        <v>41470</v>
      </c>
      <c r="D163" s="177" t="s">
        <v>682</v>
      </c>
      <c r="E163" s="1629"/>
      <c r="F163" s="1632"/>
      <c r="G163" s="1626"/>
      <c r="H163" s="1623"/>
      <c r="I163" s="1623"/>
      <c r="J163" s="39" t="s">
        <v>1003</v>
      </c>
      <c r="K163" s="40"/>
      <c r="L163" s="40" t="s">
        <v>78</v>
      </c>
    </row>
    <row r="164" spans="1:12" ht="25.5" x14ac:dyDescent="0.2">
      <c r="A164" s="37" t="s">
        <v>1013</v>
      </c>
      <c r="B164" s="1636"/>
      <c r="C164" s="38">
        <v>41298</v>
      </c>
      <c r="D164" s="177" t="s">
        <v>682</v>
      </c>
      <c r="E164" s="1629"/>
      <c r="F164" s="1632"/>
      <c r="G164" s="1626"/>
      <c r="H164" s="1623"/>
      <c r="I164" s="1623"/>
      <c r="J164" s="39" t="s">
        <v>1003</v>
      </c>
      <c r="K164" s="40" t="s">
        <v>1014</v>
      </c>
      <c r="L164" s="40" t="s">
        <v>1015</v>
      </c>
    </row>
    <row r="165" spans="1:12" x14ac:dyDescent="0.2">
      <c r="A165" s="37" t="s">
        <v>1016</v>
      </c>
      <c r="B165" s="1636"/>
      <c r="C165" s="38">
        <v>41472</v>
      </c>
      <c r="D165" s="177" t="s">
        <v>682</v>
      </c>
      <c r="E165" s="1629"/>
      <c r="F165" s="1632"/>
      <c r="G165" s="1626"/>
      <c r="H165" s="1623"/>
      <c r="I165" s="1623"/>
      <c r="J165" s="39" t="s">
        <v>1003</v>
      </c>
      <c r="K165" s="40"/>
      <c r="L165" s="40" t="s">
        <v>1017</v>
      </c>
    </row>
    <row r="166" spans="1:12" x14ac:dyDescent="0.2">
      <c r="A166" s="37" t="s">
        <v>1018</v>
      </c>
      <c r="B166" s="1636"/>
      <c r="C166" s="38">
        <v>41454</v>
      </c>
      <c r="D166" s="177" t="s">
        <v>682</v>
      </c>
      <c r="E166" s="1629"/>
      <c r="F166" s="1632"/>
      <c r="G166" s="1626"/>
      <c r="H166" s="1623"/>
      <c r="I166" s="1623"/>
      <c r="J166" s="39" t="s">
        <v>1003</v>
      </c>
      <c r="K166" s="40"/>
      <c r="L166" s="40"/>
    </row>
    <row r="167" spans="1:12" x14ac:dyDescent="0.2">
      <c r="A167" s="37" t="s">
        <v>1019</v>
      </c>
      <c r="B167" s="1636"/>
      <c r="C167" s="38">
        <v>41502</v>
      </c>
      <c r="D167" s="177" t="s">
        <v>682</v>
      </c>
      <c r="E167" s="1629"/>
      <c r="F167" s="1632"/>
      <c r="G167" s="1626"/>
      <c r="H167" s="1623"/>
      <c r="I167" s="1623"/>
      <c r="J167" s="39" t="s">
        <v>1003</v>
      </c>
      <c r="K167" s="40" t="s">
        <v>78</v>
      </c>
      <c r="L167" s="40" t="s">
        <v>78</v>
      </c>
    </row>
    <row r="168" spans="1:12" x14ac:dyDescent="0.2">
      <c r="A168" s="37" t="s">
        <v>1020</v>
      </c>
      <c r="B168" s="1636"/>
      <c r="C168" s="38">
        <v>41327</v>
      </c>
      <c r="D168" s="177" t="s">
        <v>682</v>
      </c>
      <c r="E168" s="1629"/>
      <c r="F168" s="1632"/>
      <c r="G168" s="1626"/>
      <c r="H168" s="1623"/>
      <c r="I168" s="1623"/>
      <c r="J168" s="39" t="s">
        <v>1003</v>
      </c>
      <c r="K168" s="40" t="s">
        <v>78</v>
      </c>
      <c r="L168" s="40" t="s">
        <v>78</v>
      </c>
    </row>
    <row r="169" spans="1:12" x14ac:dyDescent="0.2">
      <c r="A169" s="37" t="s">
        <v>1021</v>
      </c>
      <c r="B169" s="1636"/>
      <c r="C169" s="38">
        <v>41317</v>
      </c>
      <c r="D169" s="177" t="s">
        <v>682</v>
      </c>
      <c r="E169" s="1629"/>
      <c r="F169" s="1632"/>
      <c r="G169" s="1626"/>
      <c r="H169" s="1623"/>
      <c r="I169" s="1623"/>
      <c r="J169" s="39" t="s">
        <v>1003</v>
      </c>
      <c r="K169" s="40" t="s">
        <v>78</v>
      </c>
      <c r="L169" s="40" t="s">
        <v>78</v>
      </c>
    </row>
    <row r="170" spans="1:12" x14ac:dyDescent="0.2">
      <c r="A170" s="37" t="s">
        <v>1022</v>
      </c>
      <c r="B170" s="1636"/>
      <c r="C170" s="38">
        <v>41345</v>
      </c>
      <c r="D170" s="177" t="s">
        <v>682</v>
      </c>
      <c r="E170" s="1629"/>
      <c r="F170" s="1632"/>
      <c r="G170" s="1626"/>
      <c r="H170" s="1623"/>
      <c r="I170" s="1623"/>
      <c r="J170" s="39" t="s">
        <v>1003</v>
      </c>
      <c r="K170" s="40" t="s">
        <v>78</v>
      </c>
      <c r="L170" s="40" t="s">
        <v>1023</v>
      </c>
    </row>
    <row r="171" spans="1:12" x14ac:dyDescent="0.2">
      <c r="A171" s="37" t="s">
        <v>1024</v>
      </c>
      <c r="B171" s="1636"/>
      <c r="C171" s="38">
        <v>41395</v>
      </c>
      <c r="D171" s="177" t="s">
        <v>682</v>
      </c>
      <c r="E171" s="1629"/>
      <c r="F171" s="1632"/>
      <c r="G171" s="1626"/>
      <c r="H171" s="1623"/>
      <c r="I171" s="1623"/>
      <c r="J171" s="39" t="s">
        <v>1003</v>
      </c>
      <c r="K171" s="40" t="s">
        <v>78</v>
      </c>
      <c r="L171" s="40" t="s">
        <v>78</v>
      </c>
    </row>
    <row r="172" spans="1:12" x14ac:dyDescent="0.2">
      <c r="A172" s="37" t="s">
        <v>1025</v>
      </c>
      <c r="B172" s="1637"/>
      <c r="C172" s="38">
        <v>40994</v>
      </c>
      <c r="D172" s="177" t="s">
        <v>682</v>
      </c>
      <c r="E172" s="1630"/>
      <c r="F172" s="1633"/>
      <c r="G172" s="1627"/>
      <c r="H172" s="1624"/>
      <c r="I172" s="1624"/>
      <c r="J172" s="39" t="s">
        <v>1003</v>
      </c>
      <c r="K172" s="40" t="s">
        <v>1026</v>
      </c>
      <c r="L172" s="40" t="s">
        <v>78</v>
      </c>
    </row>
    <row r="173" spans="1:12" x14ac:dyDescent="0.2">
      <c r="A173" s="37" t="s">
        <v>1027</v>
      </c>
      <c r="B173" s="1634" t="s">
        <v>1028</v>
      </c>
      <c r="C173" s="38">
        <v>41414</v>
      </c>
      <c r="D173" s="177" t="s">
        <v>682</v>
      </c>
      <c r="E173" s="1628">
        <v>3</v>
      </c>
      <c r="F173" s="1631">
        <v>2</v>
      </c>
      <c r="G173" s="1625">
        <f>COUNTIF(D173:D175,"S")</f>
        <v>3</v>
      </c>
      <c r="H173" s="1622">
        <f>G173/E173</f>
        <v>1</v>
      </c>
      <c r="I173" s="1622">
        <f>IF(G173/F173&gt;1,1,G173/F173)</f>
        <v>1</v>
      </c>
      <c r="J173" s="39" t="s">
        <v>1029</v>
      </c>
      <c r="K173" s="43"/>
      <c r="L173" s="40"/>
    </row>
    <row r="174" spans="1:12" x14ac:dyDescent="0.2">
      <c r="A174" s="37" t="s">
        <v>1030</v>
      </c>
      <c r="B174" s="1634"/>
      <c r="C174" s="38">
        <v>41365</v>
      </c>
      <c r="D174" s="177" t="s">
        <v>682</v>
      </c>
      <c r="E174" s="1629"/>
      <c r="F174" s="1632"/>
      <c r="G174" s="1626"/>
      <c r="H174" s="1623"/>
      <c r="I174" s="1623"/>
      <c r="J174" s="39" t="s">
        <v>1029</v>
      </c>
      <c r="K174" s="43"/>
      <c r="L174" s="40"/>
    </row>
    <row r="175" spans="1:12" x14ac:dyDescent="0.2">
      <c r="A175" s="37" t="s">
        <v>1031</v>
      </c>
      <c r="B175" s="1634"/>
      <c r="C175" s="38">
        <v>41365</v>
      </c>
      <c r="D175" s="177" t="s">
        <v>682</v>
      </c>
      <c r="E175" s="1630"/>
      <c r="F175" s="1633"/>
      <c r="G175" s="1627"/>
      <c r="H175" s="1624"/>
      <c r="I175" s="1624"/>
      <c r="J175" s="39" t="s">
        <v>1029</v>
      </c>
      <c r="K175" s="43"/>
      <c r="L175" s="40"/>
    </row>
    <row r="176" spans="1:12" x14ac:dyDescent="0.2">
      <c r="A176" s="37" t="s">
        <v>1032</v>
      </c>
      <c r="B176" s="1635" t="s">
        <v>1033</v>
      </c>
      <c r="C176" s="38">
        <v>401404</v>
      </c>
      <c r="D176" s="162" t="s">
        <v>682</v>
      </c>
      <c r="E176" s="1628">
        <v>12</v>
      </c>
      <c r="F176" s="1631">
        <v>2</v>
      </c>
      <c r="G176" s="1625">
        <f>COUNTIF(D176:D187,"S")</f>
        <v>12</v>
      </c>
      <c r="H176" s="1622">
        <f>G176/E176</f>
        <v>1</v>
      </c>
      <c r="I176" s="1622">
        <f>IF(G176/F176&gt;1,1,G176/F176)</f>
        <v>1</v>
      </c>
      <c r="J176" s="39" t="s">
        <v>1034</v>
      </c>
      <c r="K176" s="40"/>
      <c r="L176" s="40" t="s">
        <v>683</v>
      </c>
    </row>
    <row r="177" spans="1:12" x14ac:dyDescent="0.2">
      <c r="A177" s="37" t="s">
        <v>1035</v>
      </c>
      <c r="B177" s="1636"/>
      <c r="C177" s="38">
        <v>401404</v>
      </c>
      <c r="D177" s="177" t="s">
        <v>682</v>
      </c>
      <c r="E177" s="1629"/>
      <c r="F177" s="1632"/>
      <c r="G177" s="1626"/>
      <c r="H177" s="1623"/>
      <c r="I177" s="1623"/>
      <c r="J177" s="39" t="s">
        <v>1034</v>
      </c>
      <c r="K177" s="40" t="s">
        <v>78</v>
      </c>
      <c r="L177" s="40" t="s">
        <v>78</v>
      </c>
    </row>
    <row r="178" spans="1:12" x14ac:dyDescent="0.2">
      <c r="A178" s="37" t="s">
        <v>1036</v>
      </c>
      <c r="B178" s="1636"/>
      <c r="C178" s="38">
        <v>401404</v>
      </c>
      <c r="D178" s="177" t="s">
        <v>682</v>
      </c>
      <c r="E178" s="1629"/>
      <c r="F178" s="1632"/>
      <c r="G178" s="1626"/>
      <c r="H178" s="1623"/>
      <c r="I178" s="1623"/>
      <c r="J178" s="39" t="s">
        <v>1034</v>
      </c>
      <c r="K178" s="40" t="s">
        <v>78</v>
      </c>
      <c r="L178" s="40" t="s">
        <v>78</v>
      </c>
    </row>
    <row r="179" spans="1:12" x14ac:dyDescent="0.2">
      <c r="A179" s="37" t="s">
        <v>1037</v>
      </c>
      <c r="B179" s="1636"/>
      <c r="C179" s="38">
        <v>401404</v>
      </c>
      <c r="D179" s="177" t="s">
        <v>682</v>
      </c>
      <c r="E179" s="1629"/>
      <c r="F179" s="1632"/>
      <c r="G179" s="1626"/>
      <c r="H179" s="1623"/>
      <c r="I179" s="1623"/>
      <c r="J179" s="39" t="s">
        <v>1034</v>
      </c>
      <c r="K179" s="40" t="s">
        <v>78</v>
      </c>
      <c r="L179" s="40" t="s">
        <v>78</v>
      </c>
    </row>
    <row r="180" spans="1:12" x14ac:dyDescent="0.2">
      <c r="A180" s="37" t="s">
        <v>1038</v>
      </c>
      <c r="B180" s="1636"/>
      <c r="C180" s="38">
        <v>401404</v>
      </c>
      <c r="D180" s="177" t="s">
        <v>682</v>
      </c>
      <c r="E180" s="1629"/>
      <c r="F180" s="1632"/>
      <c r="G180" s="1626"/>
      <c r="H180" s="1623"/>
      <c r="I180" s="1623"/>
      <c r="J180" s="39" t="s">
        <v>1034</v>
      </c>
      <c r="K180" s="40" t="s">
        <v>78</v>
      </c>
      <c r="L180" s="40" t="s">
        <v>78</v>
      </c>
    </row>
    <row r="181" spans="1:12" x14ac:dyDescent="0.2">
      <c r="A181" s="37" t="s">
        <v>1039</v>
      </c>
      <c r="B181" s="1636"/>
      <c r="C181" s="38">
        <v>401404</v>
      </c>
      <c r="D181" s="177" t="s">
        <v>682</v>
      </c>
      <c r="E181" s="1629"/>
      <c r="F181" s="1632"/>
      <c r="G181" s="1626"/>
      <c r="H181" s="1623"/>
      <c r="I181" s="1623"/>
      <c r="J181" s="39" t="s">
        <v>1034</v>
      </c>
      <c r="K181" s="40" t="s">
        <v>78</v>
      </c>
      <c r="L181" s="40" t="s">
        <v>78</v>
      </c>
    </row>
    <row r="182" spans="1:12" x14ac:dyDescent="0.2">
      <c r="A182" s="37" t="s">
        <v>1040</v>
      </c>
      <c r="B182" s="1636"/>
      <c r="C182" s="38">
        <v>401404</v>
      </c>
      <c r="D182" s="177" t="s">
        <v>682</v>
      </c>
      <c r="E182" s="1629"/>
      <c r="F182" s="1632"/>
      <c r="G182" s="1626"/>
      <c r="H182" s="1623"/>
      <c r="I182" s="1623"/>
      <c r="J182" s="39" t="s">
        <v>1034</v>
      </c>
      <c r="K182" s="40" t="s">
        <v>78</v>
      </c>
      <c r="L182" s="40" t="s">
        <v>78</v>
      </c>
    </row>
    <row r="183" spans="1:12" x14ac:dyDescent="0.2">
      <c r="A183" s="37" t="s">
        <v>1041</v>
      </c>
      <c r="B183" s="1636"/>
      <c r="C183" s="38">
        <v>401404</v>
      </c>
      <c r="D183" s="177" t="s">
        <v>682</v>
      </c>
      <c r="E183" s="1629"/>
      <c r="F183" s="1632"/>
      <c r="G183" s="1626"/>
      <c r="H183" s="1623"/>
      <c r="I183" s="1623"/>
      <c r="J183" s="39" t="s">
        <v>1034</v>
      </c>
      <c r="K183" s="40" t="s">
        <v>78</v>
      </c>
      <c r="L183" s="40" t="s">
        <v>78</v>
      </c>
    </row>
    <row r="184" spans="1:12" x14ac:dyDescent="0.2">
      <c r="A184" s="37" t="s">
        <v>1042</v>
      </c>
      <c r="B184" s="1636"/>
      <c r="C184" s="38">
        <v>401404</v>
      </c>
      <c r="D184" s="177" t="s">
        <v>682</v>
      </c>
      <c r="E184" s="1629"/>
      <c r="F184" s="1632"/>
      <c r="G184" s="1626"/>
      <c r="H184" s="1623"/>
      <c r="I184" s="1623"/>
      <c r="J184" s="39" t="s">
        <v>1034</v>
      </c>
      <c r="K184" s="40" t="s">
        <v>78</v>
      </c>
      <c r="L184" s="40" t="s">
        <v>78</v>
      </c>
    </row>
    <row r="185" spans="1:12" x14ac:dyDescent="0.2">
      <c r="A185" s="37" t="s">
        <v>1043</v>
      </c>
      <c r="B185" s="1636"/>
      <c r="C185" s="38">
        <v>401404</v>
      </c>
      <c r="D185" s="177" t="s">
        <v>682</v>
      </c>
      <c r="E185" s="1629"/>
      <c r="F185" s="1632"/>
      <c r="G185" s="1626"/>
      <c r="H185" s="1623"/>
      <c r="I185" s="1623"/>
      <c r="J185" s="39" t="s">
        <v>1034</v>
      </c>
      <c r="K185" s="40" t="s">
        <v>78</v>
      </c>
      <c r="L185" s="40" t="s">
        <v>78</v>
      </c>
    </row>
    <row r="186" spans="1:12" x14ac:dyDescent="0.2">
      <c r="A186" s="37" t="s">
        <v>1044</v>
      </c>
      <c r="B186" s="1636"/>
      <c r="C186" s="38">
        <v>401404</v>
      </c>
      <c r="D186" s="177" t="s">
        <v>682</v>
      </c>
      <c r="E186" s="1629"/>
      <c r="F186" s="1632"/>
      <c r="G186" s="1626"/>
      <c r="H186" s="1623"/>
      <c r="I186" s="1623"/>
      <c r="J186" s="39" t="s">
        <v>1034</v>
      </c>
      <c r="K186" s="40" t="s">
        <v>78</v>
      </c>
      <c r="L186" s="40" t="s">
        <v>78</v>
      </c>
    </row>
    <row r="187" spans="1:12" x14ac:dyDescent="0.2">
      <c r="A187" s="37" t="s">
        <v>1045</v>
      </c>
      <c r="B187" s="1637"/>
      <c r="C187" s="38">
        <v>401404</v>
      </c>
      <c r="D187" s="177" t="s">
        <v>682</v>
      </c>
      <c r="E187" s="1630"/>
      <c r="F187" s="1633"/>
      <c r="G187" s="1627"/>
      <c r="H187" s="1624"/>
      <c r="I187" s="1624"/>
      <c r="J187" s="39" t="s">
        <v>1034</v>
      </c>
      <c r="K187" s="40" t="s">
        <v>78</v>
      </c>
      <c r="L187" s="40" t="s">
        <v>78</v>
      </c>
    </row>
  </sheetData>
  <mergeCells count="167">
    <mergeCell ref="B121:B136"/>
    <mergeCell ref="B88:B91"/>
    <mergeCell ref="B92:B94"/>
    <mergeCell ref="B95:B96"/>
    <mergeCell ref="B97:B98"/>
    <mergeCell ref="B99:B114"/>
    <mergeCell ref="B115:B116"/>
    <mergeCell ref="B176:B187"/>
    <mergeCell ref="B137:B142"/>
    <mergeCell ref="B143:B146"/>
    <mergeCell ref="B147:B155"/>
    <mergeCell ref="B173:B175"/>
    <mergeCell ref="B156:B172"/>
    <mergeCell ref="B117:B120"/>
    <mergeCell ref="B58:B61"/>
    <mergeCell ref="E58:E61"/>
    <mergeCell ref="E38:E53"/>
    <mergeCell ref="B26:B28"/>
    <mergeCell ref="B29:B31"/>
    <mergeCell ref="E79:E80"/>
    <mergeCell ref="B2:B3"/>
    <mergeCell ref="B14:B25"/>
    <mergeCell ref="E2:E3"/>
    <mergeCell ref="E4:E9"/>
    <mergeCell ref="E10:E11"/>
    <mergeCell ref="B62:B78"/>
    <mergeCell ref="B54:B57"/>
    <mergeCell ref="E14:E25"/>
    <mergeCell ref="B4:B9"/>
    <mergeCell ref="B79:B80"/>
    <mergeCell ref="E32:E37"/>
    <mergeCell ref="B32:B37"/>
    <mergeCell ref="E26:E28"/>
    <mergeCell ref="E54:E57"/>
    <mergeCell ref="B38:B53"/>
    <mergeCell ref="B10:B11"/>
    <mergeCell ref="B12:B13"/>
    <mergeCell ref="E29:E31"/>
    <mergeCell ref="E143:E146"/>
    <mergeCell ref="E97:E98"/>
    <mergeCell ref="F2:F3"/>
    <mergeCell ref="F4:F9"/>
    <mergeCell ref="F10:F11"/>
    <mergeCell ref="F12:F13"/>
    <mergeCell ref="E62:E78"/>
    <mergeCell ref="F38:F53"/>
    <mergeCell ref="F62:F78"/>
    <mergeCell ref="F54:F57"/>
    <mergeCell ref="F58:F61"/>
    <mergeCell ref="E12:E13"/>
    <mergeCell ref="F32:F37"/>
    <mergeCell ref="F97:F98"/>
    <mergeCell ref="F95:F96"/>
    <mergeCell ref="F79:F80"/>
    <mergeCell ref="F82:F85"/>
    <mergeCell ref="F29:F31"/>
    <mergeCell ref="F14:F25"/>
    <mergeCell ref="F26:F28"/>
    <mergeCell ref="E82:E85"/>
    <mergeCell ref="E173:E175"/>
    <mergeCell ref="E147:E155"/>
    <mergeCell ref="E156:E172"/>
    <mergeCell ref="E176:E187"/>
    <mergeCell ref="F88:F91"/>
    <mergeCell ref="E117:E120"/>
    <mergeCell ref="E121:E136"/>
    <mergeCell ref="E88:E91"/>
    <mergeCell ref="E92:E94"/>
    <mergeCell ref="E95:E96"/>
    <mergeCell ref="E137:E142"/>
    <mergeCell ref="E115:E116"/>
    <mergeCell ref="E99:E114"/>
    <mergeCell ref="F173:F175"/>
    <mergeCell ref="F92:F94"/>
    <mergeCell ref="F115:F116"/>
    <mergeCell ref="F117:F120"/>
    <mergeCell ref="F176:F187"/>
    <mergeCell ref="F121:F136"/>
    <mergeCell ref="F137:F142"/>
    <mergeCell ref="F143:F146"/>
    <mergeCell ref="F147:F155"/>
    <mergeCell ref="F156:F172"/>
    <mergeCell ref="F99:F114"/>
    <mergeCell ref="G2:G3"/>
    <mergeCell ref="G4:G9"/>
    <mergeCell ref="G38:G53"/>
    <mergeCell ref="G29:G31"/>
    <mergeCell ref="G117:G120"/>
    <mergeCell ref="G10:G11"/>
    <mergeCell ref="G12:G13"/>
    <mergeCell ref="G88:G91"/>
    <mergeCell ref="G14:G25"/>
    <mergeCell ref="G26:G28"/>
    <mergeCell ref="G32:G37"/>
    <mergeCell ref="G54:G57"/>
    <mergeCell ref="G82:G85"/>
    <mergeCell ref="G79:G80"/>
    <mergeCell ref="G121:G136"/>
    <mergeCell ref="G99:G114"/>
    <mergeCell ref="G115:G116"/>
    <mergeCell ref="G92:G94"/>
    <mergeCell ref="G176:G187"/>
    <mergeCell ref="G58:G61"/>
    <mergeCell ref="G62:G78"/>
    <mergeCell ref="G97:G98"/>
    <mergeCell ref="G95:G96"/>
    <mergeCell ref="G143:G146"/>
    <mergeCell ref="G137:G142"/>
    <mergeCell ref="G173:G175"/>
    <mergeCell ref="G147:G155"/>
    <mergeCell ref="G156:G172"/>
    <mergeCell ref="H2:H3"/>
    <mergeCell ref="H4:H9"/>
    <mergeCell ref="H10:H11"/>
    <mergeCell ref="H12:H13"/>
    <mergeCell ref="I176:I187"/>
    <mergeCell ref="I121:I136"/>
    <mergeCell ref="I137:I142"/>
    <mergeCell ref="I143:I146"/>
    <mergeCell ref="I147:I155"/>
    <mergeCell ref="I58:I61"/>
    <mergeCell ref="I62:I78"/>
    <mergeCell ref="I79:I80"/>
    <mergeCell ref="I95:I96"/>
    <mergeCell ref="I14:I25"/>
    <mergeCell ref="I26:I28"/>
    <mergeCell ref="I29:I31"/>
    <mergeCell ref="I54:I57"/>
    <mergeCell ref="I82:I85"/>
    <mergeCell ref="I88:I91"/>
    <mergeCell ref="I32:I37"/>
    <mergeCell ref="I2:I3"/>
    <mergeCell ref="I4:I9"/>
    <mergeCell ref="I10:I11"/>
    <mergeCell ref="I12:I13"/>
    <mergeCell ref="H14:H25"/>
    <mergeCell ref="H26:H28"/>
    <mergeCell ref="H29:H31"/>
    <mergeCell ref="H79:H80"/>
    <mergeCell ref="H32:H37"/>
    <mergeCell ref="H38:H53"/>
    <mergeCell ref="H92:H94"/>
    <mergeCell ref="H95:H96"/>
    <mergeCell ref="I38:I53"/>
    <mergeCell ref="I92:I94"/>
    <mergeCell ref="H82:H85"/>
    <mergeCell ref="H54:H57"/>
    <mergeCell ref="H58:H61"/>
    <mergeCell ref="H62:H78"/>
    <mergeCell ref="I156:I172"/>
    <mergeCell ref="I173:I175"/>
    <mergeCell ref="I117:I120"/>
    <mergeCell ref="I97:I98"/>
    <mergeCell ref="I99:I114"/>
    <mergeCell ref="I115:I116"/>
    <mergeCell ref="H117:H120"/>
    <mergeCell ref="H156:H172"/>
    <mergeCell ref="H173:H175"/>
    <mergeCell ref="H176:H187"/>
    <mergeCell ref="H137:H142"/>
    <mergeCell ref="H143:H146"/>
    <mergeCell ref="H147:H155"/>
    <mergeCell ref="H121:H136"/>
    <mergeCell ref="H97:H98"/>
    <mergeCell ref="H115:H116"/>
    <mergeCell ref="H99:H114"/>
    <mergeCell ref="H88:H91"/>
  </mergeCells>
  <phoneticPr fontId="5" type="noConversion"/>
  <conditionalFormatting sqref="G173 G92 G26 G29">
    <cfRule type="cellIs" dxfId="124" priority="1" stopIfTrue="1" operator="lessThan">
      <formula>$F$26</formula>
    </cfRule>
  </conditionalFormatting>
  <conditionalFormatting sqref="G176:G187 G14:G25">
    <cfRule type="cellIs" dxfId="123" priority="2" stopIfTrue="1" operator="lessThan">
      <formula>$F$14</formula>
    </cfRule>
  </conditionalFormatting>
  <conditionalFormatting sqref="G156:G172">
    <cfRule type="cellIs" dxfId="122" priority="3" stopIfTrue="1" operator="lessThan">
      <formula>#REF!</formula>
    </cfRule>
  </conditionalFormatting>
  <conditionalFormatting sqref="G143:G146 G88:G91 G82:G85 G54:G61">
    <cfRule type="cellIs" dxfId="121" priority="4" stopIfTrue="1" operator="lessThan">
      <formula>$F$143</formula>
    </cfRule>
  </conditionalFormatting>
  <conditionalFormatting sqref="G147:G155">
    <cfRule type="cellIs" dxfId="120" priority="5" stopIfTrue="1" operator="lessThan">
      <formula>$F$147</formula>
    </cfRule>
  </conditionalFormatting>
  <conditionalFormatting sqref="G79:G80 G95:G98 G115:G120 G2:G3 G10:G13">
    <cfRule type="cellIs" dxfId="119" priority="6" stopIfTrue="1" operator="lessThan">
      <formula>$F$2</formula>
    </cfRule>
  </conditionalFormatting>
  <conditionalFormatting sqref="G137:G142 G4:G9 G32:G37">
    <cfRule type="cellIs" dxfId="118" priority="7" stopIfTrue="1" operator="lessThan">
      <formula>$F$4</formula>
    </cfRule>
  </conditionalFormatting>
  <conditionalFormatting sqref="G121:G136 G99:G114 G38:G53">
    <cfRule type="cellIs" dxfId="117" priority="8" stopIfTrue="1" operator="lessThan">
      <formula>#REF!</formula>
    </cfRule>
  </conditionalFormatting>
  <conditionalFormatting sqref="G81 G86:G87">
    <cfRule type="cellIs" dxfId="116" priority="9" stopIfTrue="1" operator="lessThan">
      <formula>$F$81</formula>
    </cfRule>
  </conditionalFormatting>
  <conditionalFormatting sqref="G62:G78">
    <cfRule type="cellIs" dxfId="115" priority="10" stopIfTrue="1" operator="lessThan">
      <formula>$F$62</formula>
    </cfRule>
  </conditionalFormatting>
  <conditionalFormatting sqref="C1">
    <cfRule type="cellIs" dxfId="114" priority="17" stopIfTrue="1" operator="lessThanOrEqual">
      <formula>39844</formula>
    </cfRule>
  </conditionalFormatting>
  <dataValidations count="1">
    <dataValidation type="list" showInputMessage="1" showErrorMessage="1" sqref="D2:D187" xr:uid="{1961688B-F794-40AB-82FA-3F6009F8066C}">
      <formula1>$N$4:$N$7</formula1>
    </dataValidation>
  </dataValidations>
  <pageMargins left="0.75" right="0.75" top="1" bottom="1" header="0.5" footer="0.5"/>
  <pageSetup scale="61" fitToHeight="3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688D5-B3AC-476B-AE02-38EFB566ACCF}">
  <sheetPr codeName="Sheet7">
    <tabColor indexed="11"/>
  </sheetPr>
  <dimension ref="B1:C20"/>
  <sheetViews>
    <sheetView showGridLines="0" workbookViewId="0">
      <selection activeCell="L56" sqref="L56"/>
    </sheetView>
  </sheetViews>
  <sheetFormatPr defaultRowHeight="12.75" x14ac:dyDescent="0.2"/>
  <cols>
    <col min="2" max="2" width="34" customWidth="1"/>
    <col min="3" max="3" width="26.42578125" customWidth="1"/>
  </cols>
  <sheetData>
    <row r="1" spans="2:3" ht="13.5" thickBot="1" x14ac:dyDescent="0.25"/>
    <row r="2" spans="2:3" x14ac:dyDescent="0.2">
      <c r="B2" s="45" t="s">
        <v>1046</v>
      </c>
      <c r="C2" s="46">
        <f>SUM('Tools &amp; Test Equipment'!E2:E187)</f>
        <v>178</v>
      </c>
    </row>
    <row r="3" spans="2:3" hidden="1" x14ac:dyDescent="0.2">
      <c r="B3" s="1638"/>
      <c r="C3" s="47">
        <f>COUNTIF('Tools &amp; Test Equipment'!E2:E187,"1")</f>
        <v>3</v>
      </c>
    </row>
    <row r="4" spans="2:3" hidden="1" x14ac:dyDescent="0.2">
      <c r="B4" s="1639"/>
      <c r="C4" s="47">
        <f>COUNTIF('Tools &amp; Test Equipment'!E2:E187,"2")</f>
        <v>7</v>
      </c>
    </row>
    <row r="5" spans="2:3" hidden="1" x14ac:dyDescent="0.2">
      <c r="B5" s="1639"/>
      <c r="C5" s="47">
        <f>COUNTIF('Tools &amp; Test Equipment'!E2:E187,"3")</f>
        <v>4</v>
      </c>
    </row>
    <row r="6" spans="2:3" hidden="1" x14ac:dyDescent="0.2">
      <c r="B6" s="1639"/>
      <c r="C6" s="47">
        <f>COUNTIF('Tools &amp; Test Equipment'!E2:E187,"4")</f>
        <v>6</v>
      </c>
    </row>
    <row r="7" spans="2:3" hidden="1" x14ac:dyDescent="0.2">
      <c r="B7" s="1639"/>
      <c r="C7" s="47">
        <f>COUNTIF('Tools &amp; Test Equipment'!E2:E187,"6")</f>
        <v>3</v>
      </c>
    </row>
    <row r="8" spans="2:3" hidden="1" x14ac:dyDescent="0.2">
      <c r="B8" s="1639"/>
      <c r="C8" s="47">
        <f>COUNTIF('Tools &amp; Test Equipment'!E2:E187,"8")</f>
        <v>0</v>
      </c>
    </row>
    <row r="9" spans="2:3" hidden="1" x14ac:dyDescent="0.2">
      <c r="B9" s="1639"/>
      <c r="C9" s="47">
        <f>COUNTIF('Tools &amp; Test Equipment'!E2:E187,"10")</f>
        <v>1</v>
      </c>
    </row>
    <row r="10" spans="2:3" hidden="1" x14ac:dyDescent="0.2">
      <c r="B10" s="1639"/>
      <c r="C10" s="47">
        <f>COUNTIF('Tools &amp; Test Equipment'!E2:E187,"12")</f>
        <v>2</v>
      </c>
    </row>
    <row r="11" spans="2:3" hidden="1" x14ac:dyDescent="0.2">
      <c r="B11" s="1639"/>
      <c r="C11" s="47">
        <f>COUNTIF('Tools &amp; Test Equipment'!E2:E187,"16")</f>
        <v>2</v>
      </c>
    </row>
    <row r="12" spans="2:3" hidden="1" x14ac:dyDescent="0.2">
      <c r="B12" s="1639"/>
      <c r="C12" s="47">
        <f>COUNTIF('Tools &amp; Test Equipment'!E2:E187,"19")</f>
        <v>0</v>
      </c>
    </row>
    <row r="13" spans="2:3" hidden="1" x14ac:dyDescent="0.2">
      <c r="B13" s="1640"/>
      <c r="C13" s="47">
        <f>COUNTIF('Tools &amp; Test Equipment'!E2:E187,"24")</f>
        <v>1</v>
      </c>
    </row>
    <row r="14" spans="2:3" hidden="1" x14ac:dyDescent="0.2">
      <c r="B14" s="48" t="s">
        <v>490</v>
      </c>
      <c r="C14" s="47">
        <f>SUM(C3:C13)</f>
        <v>29</v>
      </c>
    </row>
    <row r="15" spans="2:3" x14ac:dyDescent="0.2">
      <c r="B15" s="10"/>
      <c r="C15" s="11"/>
    </row>
    <row r="16" spans="2:3" x14ac:dyDescent="0.2">
      <c r="B16" s="48" t="s">
        <v>491</v>
      </c>
      <c r="C16" s="49">
        <f>COUNTIF('Tools &amp; Test Equipment'!D2:D187,"S")</f>
        <v>182</v>
      </c>
    </row>
    <row r="17" spans="2:3" x14ac:dyDescent="0.2">
      <c r="B17" s="48" t="s">
        <v>492</v>
      </c>
      <c r="C17" s="47">
        <f>COUNTIF('Tools &amp; Test Equipment'!D2:D187,"U/S")+COUNTIF('Tools &amp; Test Equipment'!D2:D187,"DEPLOYED")+COUNTIF('Tools &amp; Test Equipment'!D2:D187,"PAST INSP DUE")</f>
        <v>4</v>
      </c>
    </row>
    <row r="18" spans="2:3" ht="13.5" thickBot="1" x14ac:dyDescent="0.25">
      <c r="B18" s="13"/>
      <c r="C18" s="14"/>
    </row>
    <row r="19" spans="2:3" x14ac:dyDescent="0.2">
      <c r="B19" s="25" t="s">
        <v>1047</v>
      </c>
      <c r="C19" s="100">
        <f>AVERAGE('Tools &amp; Test Equipment'!H2:H187)</f>
        <v>0.96997126436781611</v>
      </c>
    </row>
    <row r="20" spans="2:3" ht="26.25" thickBot="1" x14ac:dyDescent="0.25">
      <c r="B20" s="26" t="s">
        <v>1048</v>
      </c>
      <c r="C20" s="101">
        <f>AVERAGE('Tools &amp; Test Equipment'!I2:I187)</f>
        <v>1</v>
      </c>
    </row>
  </sheetData>
  <mergeCells count="1">
    <mergeCell ref="B3:B13"/>
  </mergeCells>
  <phoneticPr fontId="5" type="noConversion"/>
  <conditionalFormatting sqref="C20">
    <cfRule type="cellIs" dxfId="113" priority="1" stopIfTrue="1" operator="lessThan">
      <formula>0.8</formula>
    </cfRule>
    <cfRule type="cellIs" dxfId="112" priority="2" stopIfTrue="1" operator="between">
      <formula>0.8</formula>
      <formula>0.9</formula>
    </cfRule>
    <cfRule type="cellIs" dxfId="111" priority="3" stopIfTrue="1" operator="greaterThan">
      <formula>0.9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FEAC-9624-4D90-B6E5-27D2A3083AEB}">
  <sheetPr codeName="Sheet8">
    <tabColor indexed="46"/>
  </sheetPr>
  <dimension ref="A1:Q472"/>
  <sheetViews>
    <sheetView showGridLines="0" workbookViewId="0">
      <pane ySplit="19" topLeftCell="A20" activePane="bottomLeft" state="frozen"/>
      <selection activeCell="P189" sqref="P189"/>
      <selection pane="bottomLeft" activeCell="A18" sqref="A18:IV18"/>
    </sheetView>
  </sheetViews>
  <sheetFormatPr defaultRowHeight="12.75" x14ac:dyDescent="0.2"/>
  <cols>
    <col min="1" max="1" width="9.5703125" style="85" customWidth="1"/>
    <col min="2" max="2" width="17.7109375" customWidth="1"/>
    <col min="3" max="3" width="36.28515625" customWidth="1"/>
    <col min="4" max="4" width="16.42578125" hidden="1" customWidth="1"/>
    <col min="5" max="5" width="14.140625" customWidth="1"/>
    <col min="6" max="6" width="14" customWidth="1"/>
    <col min="7" max="7" width="5.85546875" customWidth="1"/>
    <col min="8" max="8" width="5" customWidth="1"/>
    <col min="9" max="9" width="6.140625" customWidth="1"/>
    <col min="10" max="10" width="8.28515625" hidden="1" customWidth="1"/>
    <col min="11" max="11" width="9" hidden="1" customWidth="1"/>
    <col min="12" max="12" width="25.5703125" hidden="1" customWidth="1"/>
    <col min="13" max="13" width="12.140625" style="44" customWidth="1"/>
    <col min="14" max="14" width="46.28515625" style="44" customWidth="1"/>
    <col min="15" max="15" width="7.42578125" customWidth="1"/>
    <col min="16" max="16" width="12.5703125" hidden="1" customWidth="1"/>
    <col min="17" max="17" width="10.7109375" hidden="1" customWidth="1"/>
  </cols>
  <sheetData>
    <row r="1" spans="1:17" ht="13.5" thickBot="1" x14ac:dyDescent="0.25">
      <c r="A1" s="50" t="s">
        <v>495</v>
      </c>
      <c r="B1" s="51" t="s">
        <v>675</v>
      </c>
      <c r="C1" s="51" t="s">
        <v>1049</v>
      </c>
      <c r="D1" s="51" t="s">
        <v>1050</v>
      </c>
      <c r="E1" s="34" t="s">
        <v>676</v>
      </c>
      <c r="F1" s="52" t="s">
        <v>8</v>
      </c>
      <c r="G1" s="52" t="s">
        <v>677</v>
      </c>
      <c r="H1" s="52" t="s">
        <v>10</v>
      </c>
      <c r="I1" s="52" t="s">
        <v>11</v>
      </c>
      <c r="J1" s="52" t="s">
        <v>12</v>
      </c>
      <c r="K1" s="52" t="s">
        <v>13</v>
      </c>
      <c r="L1" s="53" t="s">
        <v>503</v>
      </c>
      <c r="M1" s="54" t="s">
        <v>1051</v>
      </c>
      <c r="N1" s="53" t="s">
        <v>678</v>
      </c>
      <c r="P1" s="55">
        <f ca="1">TODAY()</f>
        <v>46183</v>
      </c>
      <c r="Q1" s="55">
        <f ca="1">TODAY()+61</f>
        <v>46244</v>
      </c>
    </row>
    <row r="2" spans="1:17" s="62" customFormat="1" x14ac:dyDescent="0.2">
      <c r="A2" s="56">
        <v>618</v>
      </c>
      <c r="B2" s="57" t="s">
        <v>1052</v>
      </c>
      <c r="C2" s="65" t="s">
        <v>1053</v>
      </c>
      <c r="D2" s="58" t="s">
        <v>1054</v>
      </c>
      <c r="E2" s="148">
        <v>41388</v>
      </c>
      <c r="F2" s="59" t="str">
        <f>IF((J20+J245)=2,"S","U/S")</f>
        <v>S</v>
      </c>
      <c r="G2" s="1656">
        <v>9</v>
      </c>
      <c r="H2" s="1648">
        <v>4</v>
      </c>
      <c r="I2" s="1652">
        <f>COUNTIF(F2:F10,"S")</f>
        <v>7</v>
      </c>
      <c r="J2" s="1650">
        <f>I2/G2</f>
        <v>0.77777777777777779</v>
      </c>
      <c r="K2" s="1650">
        <f>IF(I2/H2&gt;1,1,I2/H2)</f>
        <v>1</v>
      </c>
      <c r="L2" s="58" t="s">
        <v>879</v>
      </c>
      <c r="M2" s="60" t="s">
        <v>1055</v>
      </c>
      <c r="N2" s="61"/>
      <c r="P2" s="63"/>
      <c r="Q2" s="63"/>
    </row>
    <row r="3" spans="1:17" x14ac:dyDescent="0.2">
      <c r="A3" s="64">
        <v>628</v>
      </c>
      <c r="B3" s="65" t="s">
        <v>1056</v>
      </c>
      <c r="C3" s="65" t="s">
        <v>1053</v>
      </c>
      <c r="D3" s="66" t="s">
        <v>1054</v>
      </c>
      <c r="E3" s="148">
        <v>41388</v>
      </c>
      <c r="F3" s="67" t="str">
        <f>IF((J35+J260)=2,"S","U/S")</f>
        <v>S</v>
      </c>
      <c r="G3" s="1654"/>
      <c r="H3" s="1647"/>
      <c r="I3" s="1626"/>
      <c r="J3" s="1645"/>
      <c r="K3" s="1645"/>
      <c r="L3" s="66" t="s">
        <v>879</v>
      </c>
      <c r="M3" s="68" t="s">
        <v>1057</v>
      </c>
      <c r="N3" s="69"/>
      <c r="P3" s="15"/>
      <c r="Q3" s="15"/>
    </row>
    <row r="4" spans="1:17" x14ac:dyDescent="0.2">
      <c r="A4" s="64">
        <v>629</v>
      </c>
      <c r="B4" s="65" t="s">
        <v>1058</v>
      </c>
      <c r="C4" s="65" t="s">
        <v>1053</v>
      </c>
      <c r="D4" s="66" t="s">
        <v>1054</v>
      </c>
      <c r="E4" s="148">
        <v>41388</v>
      </c>
      <c r="F4" s="67" t="str">
        <f>IF((J50+J275)=2,"S","U/S")</f>
        <v>S</v>
      </c>
      <c r="G4" s="1654"/>
      <c r="H4" s="1647"/>
      <c r="I4" s="1626"/>
      <c r="J4" s="1645"/>
      <c r="K4" s="1645"/>
      <c r="L4" s="66" t="s">
        <v>879</v>
      </c>
      <c r="M4" s="68" t="s">
        <v>1059</v>
      </c>
      <c r="N4" s="69"/>
      <c r="P4" s="16" t="s">
        <v>682</v>
      </c>
      <c r="Q4" s="16"/>
    </row>
    <row r="5" spans="1:17" x14ac:dyDescent="0.2">
      <c r="A5" s="64">
        <v>630</v>
      </c>
      <c r="B5" s="65" t="s">
        <v>1060</v>
      </c>
      <c r="C5" s="65" t="s">
        <v>1053</v>
      </c>
      <c r="D5" s="66" t="s">
        <v>1054</v>
      </c>
      <c r="E5" s="148">
        <v>41108</v>
      </c>
      <c r="F5" s="67" t="str">
        <f>IF((J65+J290)=2,"S","U/S")</f>
        <v>S</v>
      </c>
      <c r="G5" s="1654"/>
      <c r="H5" s="1647"/>
      <c r="I5" s="1626"/>
      <c r="J5" s="1645"/>
      <c r="K5" s="1645"/>
      <c r="L5" s="66" t="s">
        <v>879</v>
      </c>
      <c r="M5" s="68" t="s">
        <v>1061</v>
      </c>
      <c r="N5" s="69"/>
      <c r="P5" s="41" t="s">
        <v>688</v>
      </c>
      <c r="Q5" s="41"/>
    </row>
    <row r="6" spans="1:17" x14ac:dyDescent="0.2">
      <c r="A6" s="64">
        <v>631</v>
      </c>
      <c r="B6" s="65" t="s">
        <v>1062</v>
      </c>
      <c r="C6" s="65" t="s">
        <v>1053</v>
      </c>
      <c r="D6" s="66" t="s">
        <v>1063</v>
      </c>
      <c r="E6" s="149" t="s">
        <v>1064</v>
      </c>
      <c r="F6" s="67" t="str">
        <f>IF((J80+J305)=2,"S","U/S")</f>
        <v>S</v>
      </c>
      <c r="G6" s="1654"/>
      <c r="H6" s="1647"/>
      <c r="I6" s="1626"/>
      <c r="J6" s="1645"/>
      <c r="K6" s="1645"/>
      <c r="L6" s="66" t="s">
        <v>879</v>
      </c>
      <c r="M6" s="68" t="s">
        <v>1065</v>
      </c>
      <c r="N6" s="69" t="s">
        <v>1066</v>
      </c>
      <c r="P6" s="41" t="s">
        <v>690</v>
      </c>
      <c r="Q6" s="41"/>
    </row>
    <row r="7" spans="1:17" x14ac:dyDescent="0.2">
      <c r="A7" s="64">
        <v>632</v>
      </c>
      <c r="B7" s="65" t="s">
        <v>1067</v>
      </c>
      <c r="C7" s="65" t="s">
        <v>1068</v>
      </c>
      <c r="D7" s="66" t="s">
        <v>1063</v>
      </c>
      <c r="E7" s="148">
        <v>41109</v>
      </c>
      <c r="F7" s="67" t="str">
        <f>IF((J95+J320)=2,"S","U/S")</f>
        <v>S</v>
      </c>
      <c r="G7" s="1654"/>
      <c r="H7" s="1647"/>
      <c r="I7" s="1626"/>
      <c r="J7" s="1645"/>
      <c r="K7" s="1645"/>
      <c r="L7" s="66" t="s">
        <v>879</v>
      </c>
      <c r="M7" s="68" t="s">
        <v>1069</v>
      </c>
      <c r="N7" s="83"/>
      <c r="P7" s="41" t="s">
        <v>692</v>
      </c>
      <c r="Q7" s="41"/>
    </row>
    <row r="8" spans="1:17" x14ac:dyDescent="0.2">
      <c r="A8" s="64">
        <v>633</v>
      </c>
      <c r="B8" s="65" t="s">
        <v>1070</v>
      </c>
      <c r="C8" s="65" t="s">
        <v>1071</v>
      </c>
      <c r="D8" s="66" t="s">
        <v>1063</v>
      </c>
      <c r="E8" s="149" t="s">
        <v>291</v>
      </c>
      <c r="F8" s="67" t="str">
        <f>IF((J110+J335)=2,"S","U/S")</f>
        <v>U/S</v>
      </c>
      <c r="G8" s="1654"/>
      <c r="H8" s="1647"/>
      <c r="I8" s="1626"/>
      <c r="J8" s="1645"/>
      <c r="K8" s="1645"/>
      <c r="L8" s="66" t="s">
        <v>879</v>
      </c>
      <c r="M8" s="68" t="s">
        <v>1072</v>
      </c>
      <c r="N8" s="69" t="s">
        <v>1073</v>
      </c>
      <c r="P8" s="70" t="s">
        <v>879</v>
      </c>
    </row>
    <row r="9" spans="1:17" x14ac:dyDescent="0.2">
      <c r="A9" s="64">
        <v>634</v>
      </c>
      <c r="B9" s="65" t="s">
        <v>1074</v>
      </c>
      <c r="C9" s="65" t="s">
        <v>1053</v>
      </c>
      <c r="D9" s="66" t="s">
        <v>1063</v>
      </c>
      <c r="E9" s="148">
        <v>41388</v>
      </c>
      <c r="F9" s="67" t="str">
        <f>IF((J125+J350)=2,"S","U/S")</f>
        <v>S</v>
      </c>
      <c r="G9" s="1654"/>
      <c r="H9" s="1647"/>
      <c r="I9" s="1626"/>
      <c r="J9" s="1645"/>
      <c r="K9" s="1645"/>
      <c r="L9" s="66" t="s">
        <v>879</v>
      </c>
      <c r="M9" s="68" t="s">
        <v>1075</v>
      </c>
      <c r="N9" s="69"/>
    </row>
    <row r="10" spans="1:17" x14ac:dyDescent="0.2">
      <c r="A10" s="64">
        <v>635</v>
      </c>
      <c r="B10" s="65" t="s">
        <v>1076</v>
      </c>
      <c r="C10" s="65" t="s">
        <v>1053</v>
      </c>
      <c r="D10" s="66" t="s">
        <v>1077</v>
      </c>
      <c r="E10" s="148">
        <v>41109</v>
      </c>
      <c r="F10" s="67" t="str">
        <f>IF((J126+J351)=2,"S","U/S")</f>
        <v>U/S</v>
      </c>
      <c r="G10" s="1654"/>
      <c r="H10" s="1647"/>
      <c r="I10" s="1627"/>
      <c r="J10" s="1646"/>
      <c r="K10" s="1646"/>
      <c r="L10" s="66" t="s">
        <v>879</v>
      </c>
      <c r="M10" s="68" t="s">
        <v>1078</v>
      </c>
      <c r="N10" s="69"/>
    </row>
    <row r="11" spans="1:17" x14ac:dyDescent="0.2">
      <c r="A11" s="64">
        <v>619</v>
      </c>
      <c r="B11" s="65" t="s">
        <v>1079</v>
      </c>
      <c r="C11" s="65" t="s">
        <v>1053</v>
      </c>
      <c r="D11" s="66" t="s">
        <v>1077</v>
      </c>
      <c r="E11" s="148">
        <v>41109</v>
      </c>
      <c r="F11" s="67" t="str">
        <f>IF((J155+J380)=2,"S","U/S")</f>
        <v>S</v>
      </c>
      <c r="G11" s="1654">
        <v>9</v>
      </c>
      <c r="H11" s="1647">
        <v>4</v>
      </c>
      <c r="I11" s="1625">
        <f>COUNTIF(F11:F19,"S")</f>
        <v>7</v>
      </c>
      <c r="J11" s="1644">
        <f>I11/G11</f>
        <v>0.77777777777777779</v>
      </c>
      <c r="K11" s="1644">
        <f>IF(I11/H11&gt;1,1,I11/H11)</f>
        <v>1</v>
      </c>
      <c r="L11" s="66" t="s">
        <v>879</v>
      </c>
      <c r="M11" s="68" t="s">
        <v>1080</v>
      </c>
      <c r="N11" s="69"/>
    </row>
    <row r="12" spans="1:17" x14ac:dyDescent="0.2">
      <c r="A12" s="64">
        <v>620</v>
      </c>
      <c r="B12" s="65" t="s">
        <v>1081</v>
      </c>
      <c r="C12" s="65" t="s">
        <v>1053</v>
      </c>
      <c r="D12" s="66" t="s">
        <v>1077</v>
      </c>
      <c r="E12" s="148">
        <v>41388</v>
      </c>
      <c r="F12" s="67" t="str">
        <f>IF((J165+J390)=2,"S","U/S")</f>
        <v>S</v>
      </c>
      <c r="G12" s="1654"/>
      <c r="H12" s="1647"/>
      <c r="I12" s="1626"/>
      <c r="J12" s="1645"/>
      <c r="K12" s="1645"/>
      <c r="L12" s="66" t="s">
        <v>879</v>
      </c>
      <c r="M12" s="68" t="s">
        <v>1082</v>
      </c>
      <c r="N12" s="151"/>
    </row>
    <row r="13" spans="1:17" x14ac:dyDescent="0.2">
      <c r="A13" s="64">
        <v>621</v>
      </c>
      <c r="B13" s="65" t="s">
        <v>1083</v>
      </c>
      <c r="C13" s="65" t="s">
        <v>1053</v>
      </c>
      <c r="D13" s="66" t="s">
        <v>1077</v>
      </c>
      <c r="E13" s="148">
        <v>41388</v>
      </c>
      <c r="F13" s="67" t="str">
        <f>IF((J175+J400)=2,"S","U/S")</f>
        <v>S</v>
      </c>
      <c r="G13" s="1654"/>
      <c r="H13" s="1647"/>
      <c r="I13" s="1626"/>
      <c r="J13" s="1645"/>
      <c r="K13" s="1645"/>
      <c r="L13" s="66" t="s">
        <v>879</v>
      </c>
      <c r="M13" s="68" t="s">
        <v>1084</v>
      </c>
      <c r="N13" s="69"/>
    </row>
    <row r="14" spans="1:17" x14ac:dyDescent="0.2">
      <c r="A14" s="64">
        <v>622</v>
      </c>
      <c r="B14" s="65" t="s">
        <v>1085</v>
      </c>
      <c r="C14" s="65" t="s">
        <v>1053</v>
      </c>
      <c r="D14" s="66" t="s">
        <v>1086</v>
      </c>
      <c r="E14" s="148">
        <v>41193</v>
      </c>
      <c r="F14" s="67" t="str">
        <f>IF((J185+J410)=2,"S","U/S")</f>
        <v>S</v>
      </c>
      <c r="G14" s="1654"/>
      <c r="H14" s="1647"/>
      <c r="I14" s="1626"/>
      <c r="J14" s="1645"/>
      <c r="K14" s="1645"/>
      <c r="L14" s="66" t="s">
        <v>879</v>
      </c>
      <c r="M14" s="68" t="s">
        <v>1087</v>
      </c>
      <c r="N14" s="69"/>
    </row>
    <row r="15" spans="1:17" ht="12" customHeight="1" x14ac:dyDescent="0.2">
      <c r="A15" s="64">
        <v>623</v>
      </c>
      <c r="B15" s="65" t="s">
        <v>1088</v>
      </c>
      <c r="C15" s="65" t="s">
        <v>1053</v>
      </c>
      <c r="D15" s="66" t="s">
        <v>1086</v>
      </c>
      <c r="E15" s="148">
        <v>41193</v>
      </c>
      <c r="F15" s="67" t="str">
        <f>IF((J195+J420)=2,"S","U/S")</f>
        <v>S</v>
      </c>
      <c r="G15" s="1654"/>
      <c r="H15" s="1647"/>
      <c r="I15" s="1626"/>
      <c r="J15" s="1645"/>
      <c r="K15" s="1645"/>
      <c r="L15" s="66" t="s">
        <v>879</v>
      </c>
      <c r="M15" s="68" t="s">
        <v>1089</v>
      </c>
      <c r="N15" s="69"/>
    </row>
    <row r="16" spans="1:17" x14ac:dyDescent="0.2">
      <c r="A16" s="64">
        <v>624</v>
      </c>
      <c r="B16" s="65" t="s">
        <v>1090</v>
      </c>
      <c r="C16" s="65" t="s">
        <v>1053</v>
      </c>
      <c r="D16" s="66" t="s">
        <v>1086</v>
      </c>
      <c r="E16" s="148">
        <v>41284</v>
      </c>
      <c r="F16" s="67" t="str">
        <f>IF((J146+J371)=2,"S","U/S")</f>
        <v>U/S</v>
      </c>
      <c r="G16" s="1654"/>
      <c r="H16" s="1647"/>
      <c r="I16" s="1626"/>
      <c r="J16" s="1645"/>
      <c r="K16" s="1645"/>
      <c r="L16" s="66" t="s">
        <v>879</v>
      </c>
      <c r="M16" s="68" t="s">
        <v>1091</v>
      </c>
      <c r="N16" s="69" t="s">
        <v>1092</v>
      </c>
    </row>
    <row r="17" spans="1:14" x14ac:dyDescent="0.2">
      <c r="A17" s="64">
        <v>625</v>
      </c>
      <c r="B17" s="65" t="s">
        <v>1093</v>
      </c>
      <c r="C17" s="65" t="s">
        <v>1053</v>
      </c>
      <c r="D17" s="66" t="s">
        <v>1086</v>
      </c>
      <c r="E17" s="148">
        <v>41388</v>
      </c>
      <c r="F17" s="67" t="str">
        <f>IF((J215+J440)=2,"S","U/S")</f>
        <v>S</v>
      </c>
      <c r="G17" s="1654"/>
      <c r="H17" s="1647"/>
      <c r="I17" s="1626"/>
      <c r="J17" s="1645"/>
      <c r="K17" s="1645"/>
      <c r="L17" s="66" t="s">
        <v>879</v>
      </c>
      <c r="M17" s="68" t="s">
        <v>1094</v>
      </c>
      <c r="N17" s="69"/>
    </row>
    <row r="18" spans="1:14" x14ac:dyDescent="0.2">
      <c r="A18" s="64">
        <v>626</v>
      </c>
      <c r="B18" s="65" t="s">
        <v>1095</v>
      </c>
      <c r="C18" s="65" t="s">
        <v>1068</v>
      </c>
      <c r="D18" s="66" t="s">
        <v>1096</v>
      </c>
      <c r="E18" s="148">
        <v>41109</v>
      </c>
      <c r="F18" s="67" t="str">
        <f>IF((J225+J450)=2,"S","U/S")</f>
        <v>S</v>
      </c>
      <c r="G18" s="1654"/>
      <c r="H18" s="1647"/>
      <c r="I18" s="1626"/>
      <c r="J18" s="1645"/>
      <c r="K18" s="1645"/>
      <c r="L18" s="66" t="s">
        <v>879</v>
      </c>
      <c r="M18" s="68" t="s">
        <v>1097</v>
      </c>
      <c r="N18" s="69"/>
    </row>
    <row r="19" spans="1:14" s="77" customFormat="1" ht="13.5" thickBot="1" x14ac:dyDescent="0.25">
      <c r="A19" s="71">
        <v>627</v>
      </c>
      <c r="B19" s="72" t="s">
        <v>1098</v>
      </c>
      <c r="C19" s="65" t="s">
        <v>1068</v>
      </c>
      <c r="D19" s="73" t="s">
        <v>1099</v>
      </c>
      <c r="E19" s="150" t="s">
        <v>1064</v>
      </c>
      <c r="F19" s="74" t="str">
        <f>IF((J235+J460)=2,"S","U/S")</f>
        <v>U/S</v>
      </c>
      <c r="G19" s="1655"/>
      <c r="H19" s="1649"/>
      <c r="I19" s="1653"/>
      <c r="J19" s="1651"/>
      <c r="K19" s="1651"/>
      <c r="L19" s="73" t="s">
        <v>879</v>
      </c>
      <c r="M19" s="75" t="s">
        <v>1100</v>
      </c>
      <c r="N19" s="76" t="s">
        <v>1066</v>
      </c>
    </row>
    <row r="20" spans="1:14" x14ac:dyDescent="0.2">
      <c r="A20" s="78">
        <v>393</v>
      </c>
      <c r="B20" s="79" t="s">
        <v>1101</v>
      </c>
      <c r="C20" s="1641" t="s">
        <v>1102</v>
      </c>
      <c r="D20" s="80" t="s">
        <v>1052</v>
      </c>
      <c r="E20" s="81">
        <v>41206</v>
      </c>
      <c r="F20" s="82" t="s">
        <v>682</v>
      </c>
      <c r="G20" s="1654">
        <v>15</v>
      </c>
      <c r="H20" s="1647">
        <v>15</v>
      </c>
      <c r="I20" s="1625">
        <f>COUNTIF(F20:F34,"S")</f>
        <v>15</v>
      </c>
      <c r="J20" s="1644">
        <f>I20/G20</f>
        <v>1</v>
      </c>
      <c r="K20" s="1644">
        <f>IF(I20/H20&gt;1,1,I20/H20)</f>
        <v>1</v>
      </c>
      <c r="L20" s="80" t="s">
        <v>1103</v>
      </c>
      <c r="M20" s="79" t="s">
        <v>1104</v>
      </c>
      <c r="N20" s="83"/>
    </row>
    <row r="21" spans="1:14" x14ac:dyDescent="0.2">
      <c r="A21" s="78">
        <v>394</v>
      </c>
      <c r="B21" s="68" t="s">
        <v>1105</v>
      </c>
      <c r="C21" s="1642"/>
      <c r="D21" s="66" t="s">
        <v>1052</v>
      </c>
      <c r="E21" s="81">
        <v>41206</v>
      </c>
      <c r="F21" s="84" t="s">
        <v>682</v>
      </c>
      <c r="G21" s="1654"/>
      <c r="H21" s="1647"/>
      <c r="I21" s="1626"/>
      <c r="J21" s="1645"/>
      <c r="K21" s="1645"/>
      <c r="L21" s="66" t="s">
        <v>1106</v>
      </c>
      <c r="M21" s="68" t="s">
        <v>1107</v>
      </c>
      <c r="N21" s="69"/>
    </row>
    <row r="22" spans="1:14" x14ac:dyDescent="0.2">
      <c r="A22" s="78">
        <v>395</v>
      </c>
      <c r="B22" s="68" t="s">
        <v>1108</v>
      </c>
      <c r="C22" s="1642"/>
      <c r="D22" s="66" t="s">
        <v>1052</v>
      </c>
      <c r="E22" s="81">
        <v>41206</v>
      </c>
      <c r="F22" s="84" t="s">
        <v>682</v>
      </c>
      <c r="G22" s="1654"/>
      <c r="H22" s="1647"/>
      <c r="I22" s="1626"/>
      <c r="J22" s="1645"/>
      <c r="K22" s="1645"/>
      <c r="L22" s="66" t="s">
        <v>1106</v>
      </c>
      <c r="M22" s="68" t="s">
        <v>1109</v>
      </c>
      <c r="N22" s="69"/>
    </row>
    <row r="23" spans="1:14" x14ac:dyDescent="0.2">
      <c r="A23" s="78">
        <v>396</v>
      </c>
      <c r="B23" s="68" t="s">
        <v>1110</v>
      </c>
      <c r="C23" s="1642"/>
      <c r="D23" s="66" t="s">
        <v>1052</v>
      </c>
      <c r="E23" s="81">
        <v>41206</v>
      </c>
      <c r="F23" s="84" t="s">
        <v>682</v>
      </c>
      <c r="G23" s="1654"/>
      <c r="H23" s="1647"/>
      <c r="I23" s="1626"/>
      <c r="J23" s="1645"/>
      <c r="K23" s="1645"/>
      <c r="L23" s="66" t="s">
        <v>1106</v>
      </c>
      <c r="M23" s="68" t="s">
        <v>1111</v>
      </c>
      <c r="N23" s="69"/>
    </row>
    <row r="24" spans="1:14" x14ac:dyDescent="0.2">
      <c r="A24" s="78">
        <v>397</v>
      </c>
      <c r="B24" s="68" t="s">
        <v>1112</v>
      </c>
      <c r="C24" s="1642"/>
      <c r="D24" s="66" t="s">
        <v>1052</v>
      </c>
      <c r="E24" s="81">
        <v>41206</v>
      </c>
      <c r="F24" s="84" t="s">
        <v>682</v>
      </c>
      <c r="G24" s="1654"/>
      <c r="H24" s="1647"/>
      <c r="I24" s="1626"/>
      <c r="J24" s="1645"/>
      <c r="K24" s="1645"/>
      <c r="L24" s="66" t="s">
        <v>1106</v>
      </c>
      <c r="M24" s="68" t="s">
        <v>1113</v>
      </c>
      <c r="N24" s="69"/>
    </row>
    <row r="25" spans="1:14" x14ac:dyDescent="0.2">
      <c r="A25" s="78">
        <v>398</v>
      </c>
      <c r="B25" s="68" t="s">
        <v>1114</v>
      </c>
      <c r="C25" s="1642"/>
      <c r="D25" s="66" t="s">
        <v>1052</v>
      </c>
      <c r="E25" s="81">
        <v>41206</v>
      </c>
      <c r="F25" s="84" t="s">
        <v>682</v>
      </c>
      <c r="G25" s="1654"/>
      <c r="H25" s="1647"/>
      <c r="I25" s="1626"/>
      <c r="J25" s="1645"/>
      <c r="K25" s="1645"/>
      <c r="L25" s="66" t="s">
        <v>1106</v>
      </c>
      <c r="M25" s="68" t="s">
        <v>1115</v>
      </c>
      <c r="N25" s="69"/>
    </row>
    <row r="26" spans="1:14" x14ac:dyDescent="0.2">
      <c r="A26" s="78">
        <v>399</v>
      </c>
      <c r="B26" s="68" t="s">
        <v>1116</v>
      </c>
      <c r="C26" s="1642"/>
      <c r="D26" s="66" t="s">
        <v>1052</v>
      </c>
      <c r="E26" s="81">
        <v>41206</v>
      </c>
      <c r="F26" s="84" t="s">
        <v>682</v>
      </c>
      <c r="G26" s="1654"/>
      <c r="H26" s="1647"/>
      <c r="I26" s="1626"/>
      <c r="J26" s="1645"/>
      <c r="K26" s="1645"/>
      <c r="L26" s="66" t="s">
        <v>1106</v>
      </c>
      <c r="M26" s="68" t="s">
        <v>1117</v>
      </c>
      <c r="N26" s="69"/>
    </row>
    <row r="27" spans="1:14" x14ac:dyDescent="0.2">
      <c r="A27" s="78">
        <v>400</v>
      </c>
      <c r="B27" s="68" t="s">
        <v>1118</v>
      </c>
      <c r="C27" s="1642"/>
      <c r="D27" s="66" t="s">
        <v>1052</v>
      </c>
      <c r="E27" s="81">
        <v>41206</v>
      </c>
      <c r="F27" s="84" t="s">
        <v>682</v>
      </c>
      <c r="G27" s="1654"/>
      <c r="H27" s="1647"/>
      <c r="I27" s="1626"/>
      <c r="J27" s="1645"/>
      <c r="K27" s="1645"/>
      <c r="L27" s="66" t="s">
        <v>1106</v>
      </c>
      <c r="M27" s="68" t="s">
        <v>1119</v>
      </c>
      <c r="N27" s="69"/>
    </row>
    <row r="28" spans="1:14" x14ac:dyDescent="0.2">
      <c r="A28" s="78">
        <v>401</v>
      </c>
      <c r="B28" s="68" t="s">
        <v>1120</v>
      </c>
      <c r="C28" s="1642"/>
      <c r="D28" s="66" t="s">
        <v>1052</v>
      </c>
      <c r="E28" s="81">
        <v>41206</v>
      </c>
      <c r="F28" s="84" t="s">
        <v>682</v>
      </c>
      <c r="G28" s="1654"/>
      <c r="H28" s="1647"/>
      <c r="I28" s="1626"/>
      <c r="J28" s="1645"/>
      <c r="K28" s="1645"/>
      <c r="L28" s="66" t="s">
        <v>1106</v>
      </c>
      <c r="M28" s="68" t="s">
        <v>1121</v>
      </c>
      <c r="N28" s="69"/>
    </row>
    <row r="29" spans="1:14" x14ac:dyDescent="0.2">
      <c r="A29" s="78">
        <v>402</v>
      </c>
      <c r="B29" s="68" t="s">
        <v>1122</v>
      </c>
      <c r="C29" s="1642"/>
      <c r="D29" s="66" t="s">
        <v>1052</v>
      </c>
      <c r="E29" s="81">
        <v>41206</v>
      </c>
      <c r="F29" s="84" t="s">
        <v>682</v>
      </c>
      <c r="G29" s="1654"/>
      <c r="H29" s="1647"/>
      <c r="I29" s="1626"/>
      <c r="J29" s="1645"/>
      <c r="K29" s="1645"/>
      <c r="L29" s="66" t="s">
        <v>1106</v>
      </c>
      <c r="M29" s="68" t="s">
        <v>1123</v>
      </c>
      <c r="N29" s="69"/>
    </row>
    <row r="30" spans="1:14" x14ac:dyDescent="0.2">
      <c r="A30" s="78">
        <v>403</v>
      </c>
      <c r="B30" s="68" t="s">
        <v>1124</v>
      </c>
      <c r="C30" s="1642"/>
      <c r="D30" s="66" t="s">
        <v>1052</v>
      </c>
      <c r="E30" s="81">
        <v>41206</v>
      </c>
      <c r="F30" s="84" t="s">
        <v>682</v>
      </c>
      <c r="G30" s="1654"/>
      <c r="H30" s="1647"/>
      <c r="I30" s="1626"/>
      <c r="J30" s="1645"/>
      <c r="K30" s="1645"/>
      <c r="L30" s="66" t="s">
        <v>1106</v>
      </c>
      <c r="M30" s="68" t="s">
        <v>1125</v>
      </c>
      <c r="N30" s="69"/>
    </row>
    <row r="31" spans="1:14" x14ac:dyDescent="0.2">
      <c r="A31" s="78">
        <v>404</v>
      </c>
      <c r="B31" s="68" t="s">
        <v>1126</v>
      </c>
      <c r="C31" s="1642"/>
      <c r="D31" s="66" t="s">
        <v>1052</v>
      </c>
      <c r="E31" s="81">
        <v>41206</v>
      </c>
      <c r="F31" s="84" t="s">
        <v>682</v>
      </c>
      <c r="G31" s="1654"/>
      <c r="H31" s="1647"/>
      <c r="I31" s="1626"/>
      <c r="J31" s="1645"/>
      <c r="K31" s="1645"/>
      <c r="L31" s="66" t="s">
        <v>1106</v>
      </c>
      <c r="M31" s="68" t="s">
        <v>1127</v>
      </c>
      <c r="N31" s="69"/>
    </row>
    <row r="32" spans="1:14" x14ac:dyDescent="0.2">
      <c r="A32" s="78">
        <v>405</v>
      </c>
      <c r="B32" s="68" t="s">
        <v>1128</v>
      </c>
      <c r="C32" s="1642"/>
      <c r="D32" s="66" t="s">
        <v>1052</v>
      </c>
      <c r="E32" s="81">
        <v>41206</v>
      </c>
      <c r="F32" s="84" t="s">
        <v>682</v>
      </c>
      <c r="G32" s="1654"/>
      <c r="H32" s="1647"/>
      <c r="I32" s="1626"/>
      <c r="J32" s="1645"/>
      <c r="K32" s="1645"/>
      <c r="L32" s="66" t="s">
        <v>1106</v>
      </c>
      <c r="M32" s="68" t="s">
        <v>1129</v>
      </c>
      <c r="N32" s="69"/>
    </row>
    <row r="33" spans="1:14" x14ac:dyDescent="0.2">
      <c r="A33" s="78">
        <v>406</v>
      </c>
      <c r="B33" s="68" t="s">
        <v>1130</v>
      </c>
      <c r="C33" s="1642"/>
      <c r="D33" s="66" t="s">
        <v>1052</v>
      </c>
      <c r="E33" s="81">
        <v>41206</v>
      </c>
      <c r="F33" s="84" t="s">
        <v>682</v>
      </c>
      <c r="G33" s="1654"/>
      <c r="H33" s="1647"/>
      <c r="I33" s="1626"/>
      <c r="J33" s="1645"/>
      <c r="K33" s="1645"/>
      <c r="L33" s="66" t="s">
        <v>1106</v>
      </c>
      <c r="M33" s="68" t="s">
        <v>1131</v>
      </c>
      <c r="N33" s="69"/>
    </row>
    <row r="34" spans="1:14" x14ac:dyDescent="0.2">
      <c r="A34" s="78">
        <v>407</v>
      </c>
      <c r="B34" s="68" t="s">
        <v>1132</v>
      </c>
      <c r="C34" s="1643"/>
      <c r="D34" s="66" t="s">
        <v>1052</v>
      </c>
      <c r="E34" s="81">
        <v>41206</v>
      </c>
      <c r="F34" s="84" t="s">
        <v>682</v>
      </c>
      <c r="G34" s="1654"/>
      <c r="H34" s="1647"/>
      <c r="I34" s="1627"/>
      <c r="J34" s="1646"/>
      <c r="K34" s="1646"/>
      <c r="L34" s="66" t="s">
        <v>1106</v>
      </c>
      <c r="M34" s="68" t="s">
        <v>1133</v>
      </c>
      <c r="N34" s="69"/>
    </row>
    <row r="35" spans="1:14" x14ac:dyDescent="0.2">
      <c r="A35" s="78">
        <v>408</v>
      </c>
      <c r="B35" s="68" t="s">
        <v>1134</v>
      </c>
      <c r="C35" s="1641" t="s">
        <v>1102</v>
      </c>
      <c r="D35" s="66" t="s">
        <v>1056</v>
      </c>
      <c r="E35" s="38">
        <v>41206</v>
      </c>
      <c r="F35" s="84" t="s">
        <v>682</v>
      </c>
      <c r="G35" s="1654">
        <v>15</v>
      </c>
      <c r="H35" s="1647">
        <v>15</v>
      </c>
      <c r="I35" s="1625">
        <f>COUNTIF(F35:F49,"S")</f>
        <v>15</v>
      </c>
      <c r="J35" s="1644">
        <f>I35/G35</f>
        <v>1</v>
      </c>
      <c r="K35" s="1644">
        <f>IF(I35/H35&gt;1,1,I35/H35)</f>
        <v>1</v>
      </c>
      <c r="L35" s="66" t="s">
        <v>1106</v>
      </c>
      <c r="M35" s="68" t="s">
        <v>1135</v>
      </c>
      <c r="N35" s="69"/>
    </row>
    <row r="36" spans="1:14" x14ac:dyDescent="0.2">
      <c r="A36" s="78">
        <v>409</v>
      </c>
      <c r="B36" s="68" t="s">
        <v>1136</v>
      </c>
      <c r="C36" s="1642"/>
      <c r="D36" s="66" t="s">
        <v>1056</v>
      </c>
      <c r="E36" s="38">
        <v>41206</v>
      </c>
      <c r="F36" s="84" t="s">
        <v>682</v>
      </c>
      <c r="G36" s="1654"/>
      <c r="H36" s="1647"/>
      <c r="I36" s="1626"/>
      <c r="J36" s="1645"/>
      <c r="K36" s="1645"/>
      <c r="L36" s="66" t="s">
        <v>1106</v>
      </c>
      <c r="M36" s="68" t="s">
        <v>1137</v>
      </c>
      <c r="N36" s="69"/>
    </row>
    <row r="37" spans="1:14" x14ac:dyDescent="0.2">
      <c r="A37" s="78">
        <v>410</v>
      </c>
      <c r="B37" s="68" t="s">
        <v>1138</v>
      </c>
      <c r="C37" s="1642"/>
      <c r="D37" s="66" t="s">
        <v>1056</v>
      </c>
      <c r="E37" s="38">
        <v>41206</v>
      </c>
      <c r="F37" s="84" t="s">
        <v>682</v>
      </c>
      <c r="G37" s="1654"/>
      <c r="H37" s="1647"/>
      <c r="I37" s="1626"/>
      <c r="J37" s="1645"/>
      <c r="K37" s="1645"/>
      <c r="L37" s="66" t="s">
        <v>1106</v>
      </c>
      <c r="M37" s="68" t="s">
        <v>1139</v>
      </c>
      <c r="N37" s="69"/>
    </row>
    <row r="38" spans="1:14" x14ac:dyDescent="0.2">
      <c r="A38" s="78">
        <v>411</v>
      </c>
      <c r="B38" s="68" t="s">
        <v>1140</v>
      </c>
      <c r="C38" s="1642"/>
      <c r="D38" s="66" t="s">
        <v>1056</v>
      </c>
      <c r="E38" s="38">
        <v>41206</v>
      </c>
      <c r="F38" s="84" t="s">
        <v>682</v>
      </c>
      <c r="G38" s="1654"/>
      <c r="H38" s="1647"/>
      <c r="I38" s="1626"/>
      <c r="J38" s="1645"/>
      <c r="K38" s="1645"/>
      <c r="L38" s="66" t="s">
        <v>1106</v>
      </c>
      <c r="M38" s="68" t="s">
        <v>1141</v>
      </c>
      <c r="N38" s="69"/>
    </row>
    <row r="39" spans="1:14" x14ac:dyDescent="0.2">
      <c r="A39" s="78">
        <v>412</v>
      </c>
      <c r="B39" s="68" t="s">
        <v>1142</v>
      </c>
      <c r="C39" s="1642"/>
      <c r="D39" s="66" t="s">
        <v>1056</v>
      </c>
      <c r="E39" s="38">
        <v>41206</v>
      </c>
      <c r="F39" s="84" t="s">
        <v>682</v>
      </c>
      <c r="G39" s="1654"/>
      <c r="H39" s="1647"/>
      <c r="I39" s="1626"/>
      <c r="J39" s="1645"/>
      <c r="K39" s="1645"/>
      <c r="L39" s="66" t="s">
        <v>1106</v>
      </c>
      <c r="M39" s="68" t="s">
        <v>1143</v>
      </c>
      <c r="N39" s="69"/>
    </row>
    <row r="40" spans="1:14" x14ac:dyDescent="0.2">
      <c r="A40" s="78">
        <v>413</v>
      </c>
      <c r="B40" s="68" t="s">
        <v>1144</v>
      </c>
      <c r="C40" s="1642"/>
      <c r="D40" s="66" t="s">
        <v>1056</v>
      </c>
      <c r="E40" s="38">
        <v>41206</v>
      </c>
      <c r="F40" s="84" t="s">
        <v>682</v>
      </c>
      <c r="G40" s="1654"/>
      <c r="H40" s="1647"/>
      <c r="I40" s="1626"/>
      <c r="J40" s="1645"/>
      <c r="K40" s="1645"/>
      <c r="L40" s="66" t="s">
        <v>1106</v>
      </c>
      <c r="M40" s="68" t="s">
        <v>1145</v>
      </c>
      <c r="N40" s="69"/>
    </row>
    <row r="41" spans="1:14" x14ac:dyDescent="0.2">
      <c r="A41" s="78">
        <v>414</v>
      </c>
      <c r="B41" s="68" t="s">
        <v>1146</v>
      </c>
      <c r="C41" s="1642"/>
      <c r="D41" s="66" t="s">
        <v>1056</v>
      </c>
      <c r="E41" s="38">
        <v>41206</v>
      </c>
      <c r="F41" s="84" t="s">
        <v>682</v>
      </c>
      <c r="G41" s="1654"/>
      <c r="H41" s="1647"/>
      <c r="I41" s="1626"/>
      <c r="J41" s="1645"/>
      <c r="K41" s="1645"/>
      <c r="L41" s="66" t="s">
        <v>1106</v>
      </c>
      <c r="M41" s="68" t="s">
        <v>1147</v>
      </c>
      <c r="N41" s="69"/>
    </row>
    <row r="42" spans="1:14" x14ac:dyDescent="0.2">
      <c r="A42" s="78">
        <v>415</v>
      </c>
      <c r="B42" s="68" t="s">
        <v>1148</v>
      </c>
      <c r="C42" s="1642"/>
      <c r="D42" s="66" t="s">
        <v>1056</v>
      </c>
      <c r="E42" s="38">
        <v>41206</v>
      </c>
      <c r="F42" s="84" t="s">
        <v>682</v>
      </c>
      <c r="G42" s="1654"/>
      <c r="H42" s="1647"/>
      <c r="I42" s="1626"/>
      <c r="J42" s="1645"/>
      <c r="K42" s="1645"/>
      <c r="L42" s="66" t="s">
        <v>1106</v>
      </c>
      <c r="M42" s="68" t="s">
        <v>1149</v>
      </c>
      <c r="N42" s="69"/>
    </row>
    <row r="43" spans="1:14" x14ac:dyDescent="0.2">
      <c r="A43" s="78">
        <v>416</v>
      </c>
      <c r="B43" s="68" t="s">
        <v>1150</v>
      </c>
      <c r="C43" s="1642"/>
      <c r="D43" s="66" t="s">
        <v>1056</v>
      </c>
      <c r="E43" s="38">
        <v>41206</v>
      </c>
      <c r="F43" s="84" t="s">
        <v>682</v>
      </c>
      <c r="G43" s="1654"/>
      <c r="H43" s="1647"/>
      <c r="I43" s="1626"/>
      <c r="J43" s="1645"/>
      <c r="K43" s="1645"/>
      <c r="L43" s="66" t="s">
        <v>1106</v>
      </c>
      <c r="M43" s="68" t="s">
        <v>1151</v>
      </c>
      <c r="N43" s="69"/>
    </row>
    <row r="44" spans="1:14" x14ac:dyDescent="0.2">
      <c r="A44" s="78">
        <v>417</v>
      </c>
      <c r="B44" s="68" t="s">
        <v>1152</v>
      </c>
      <c r="C44" s="1642"/>
      <c r="D44" s="66" t="s">
        <v>1056</v>
      </c>
      <c r="E44" s="38">
        <v>41206</v>
      </c>
      <c r="F44" s="84" t="s">
        <v>682</v>
      </c>
      <c r="G44" s="1654"/>
      <c r="H44" s="1647"/>
      <c r="I44" s="1626"/>
      <c r="J44" s="1645"/>
      <c r="K44" s="1645"/>
      <c r="L44" s="66" t="s">
        <v>1106</v>
      </c>
      <c r="M44" s="68" t="s">
        <v>1153</v>
      </c>
      <c r="N44" s="69"/>
    </row>
    <row r="45" spans="1:14" x14ac:dyDescent="0.2">
      <c r="A45" s="78">
        <v>418</v>
      </c>
      <c r="B45" s="68" t="s">
        <v>1154</v>
      </c>
      <c r="C45" s="1642"/>
      <c r="D45" s="66" t="s">
        <v>1056</v>
      </c>
      <c r="E45" s="38">
        <v>41206</v>
      </c>
      <c r="F45" s="84" t="s">
        <v>682</v>
      </c>
      <c r="G45" s="1654"/>
      <c r="H45" s="1647"/>
      <c r="I45" s="1626"/>
      <c r="J45" s="1645"/>
      <c r="K45" s="1645"/>
      <c r="L45" s="66" t="s">
        <v>1106</v>
      </c>
      <c r="M45" s="68" t="s">
        <v>1155</v>
      </c>
      <c r="N45" s="69"/>
    </row>
    <row r="46" spans="1:14" x14ac:dyDescent="0.2">
      <c r="A46" s="78">
        <v>419</v>
      </c>
      <c r="B46" s="68" t="s">
        <v>1156</v>
      </c>
      <c r="C46" s="1642"/>
      <c r="D46" s="66" t="s">
        <v>1056</v>
      </c>
      <c r="E46" s="38">
        <v>41206</v>
      </c>
      <c r="F46" s="84" t="s">
        <v>682</v>
      </c>
      <c r="G46" s="1654"/>
      <c r="H46" s="1647"/>
      <c r="I46" s="1626"/>
      <c r="J46" s="1645"/>
      <c r="K46" s="1645"/>
      <c r="L46" s="66" t="s">
        <v>1106</v>
      </c>
      <c r="M46" s="68" t="s">
        <v>1157</v>
      </c>
      <c r="N46" s="69"/>
    </row>
    <row r="47" spans="1:14" x14ac:dyDescent="0.2">
      <c r="A47" s="78">
        <v>420</v>
      </c>
      <c r="B47" s="68" t="s">
        <v>1158</v>
      </c>
      <c r="C47" s="1642"/>
      <c r="D47" s="66" t="s">
        <v>1056</v>
      </c>
      <c r="E47" s="38">
        <v>41206</v>
      </c>
      <c r="F47" s="84" t="s">
        <v>682</v>
      </c>
      <c r="G47" s="1654"/>
      <c r="H47" s="1647"/>
      <c r="I47" s="1626"/>
      <c r="J47" s="1645"/>
      <c r="K47" s="1645"/>
      <c r="L47" s="66" t="s">
        <v>1106</v>
      </c>
      <c r="M47" s="68" t="s">
        <v>1159</v>
      </c>
      <c r="N47" s="69"/>
    </row>
    <row r="48" spans="1:14" x14ac:dyDescent="0.2">
      <c r="A48" s="78">
        <v>421</v>
      </c>
      <c r="B48" s="68" t="s">
        <v>1160</v>
      </c>
      <c r="C48" s="1642"/>
      <c r="D48" s="66" t="s">
        <v>1056</v>
      </c>
      <c r="E48" s="38">
        <v>41206</v>
      </c>
      <c r="F48" s="84" t="s">
        <v>682</v>
      </c>
      <c r="G48" s="1654"/>
      <c r="H48" s="1647"/>
      <c r="I48" s="1626"/>
      <c r="J48" s="1645"/>
      <c r="K48" s="1645"/>
      <c r="L48" s="66" t="s">
        <v>1106</v>
      </c>
      <c r="M48" s="68" t="s">
        <v>1161</v>
      </c>
      <c r="N48" s="69"/>
    </row>
    <row r="49" spans="1:14" x14ac:dyDescent="0.2">
      <c r="A49" s="78">
        <v>422</v>
      </c>
      <c r="B49" s="68" t="s">
        <v>1162</v>
      </c>
      <c r="C49" s="1643"/>
      <c r="D49" s="66" t="s">
        <v>1056</v>
      </c>
      <c r="E49" s="38">
        <v>41206</v>
      </c>
      <c r="F49" s="84" t="s">
        <v>682</v>
      </c>
      <c r="G49" s="1654"/>
      <c r="H49" s="1647"/>
      <c r="I49" s="1627"/>
      <c r="J49" s="1646"/>
      <c r="K49" s="1646"/>
      <c r="L49" s="66" t="s">
        <v>1106</v>
      </c>
      <c r="M49" s="68" t="s">
        <v>1163</v>
      </c>
      <c r="N49" s="69"/>
    </row>
    <row r="50" spans="1:14" x14ac:dyDescent="0.2">
      <c r="A50" s="78">
        <v>423</v>
      </c>
      <c r="B50" s="68" t="s">
        <v>1164</v>
      </c>
      <c r="C50" s="1641" t="s">
        <v>1102</v>
      </c>
      <c r="D50" s="66" t="s">
        <v>1058</v>
      </c>
      <c r="E50" s="38">
        <v>41206</v>
      </c>
      <c r="F50" s="84" t="s">
        <v>682</v>
      </c>
      <c r="G50" s="1654">
        <v>15</v>
      </c>
      <c r="H50" s="1647">
        <v>15</v>
      </c>
      <c r="I50" s="1625">
        <f>COUNTIF(F50:F64,"S")</f>
        <v>15</v>
      </c>
      <c r="J50" s="1644">
        <f>I50/G50</f>
        <v>1</v>
      </c>
      <c r="K50" s="1644">
        <f>IF(I50/H50&gt;1,1,I50/H50)</f>
        <v>1</v>
      </c>
      <c r="L50" s="66" t="s">
        <v>1106</v>
      </c>
      <c r="M50" s="68" t="s">
        <v>1165</v>
      </c>
      <c r="N50" s="69"/>
    </row>
    <row r="51" spans="1:14" x14ac:dyDescent="0.2">
      <c r="A51" s="78">
        <v>424</v>
      </c>
      <c r="B51" s="68" t="s">
        <v>1166</v>
      </c>
      <c r="C51" s="1642"/>
      <c r="D51" s="66" t="s">
        <v>1058</v>
      </c>
      <c r="E51" s="38">
        <v>41206</v>
      </c>
      <c r="F51" s="84" t="s">
        <v>682</v>
      </c>
      <c r="G51" s="1654"/>
      <c r="H51" s="1647"/>
      <c r="I51" s="1626"/>
      <c r="J51" s="1645"/>
      <c r="K51" s="1645"/>
      <c r="L51" s="66" t="s">
        <v>1106</v>
      </c>
      <c r="M51" s="68" t="s">
        <v>1167</v>
      </c>
      <c r="N51" s="69"/>
    </row>
    <row r="52" spans="1:14" x14ac:dyDescent="0.2">
      <c r="A52" s="78">
        <v>425</v>
      </c>
      <c r="B52" s="68" t="s">
        <v>1168</v>
      </c>
      <c r="C52" s="1642"/>
      <c r="D52" s="66" t="s">
        <v>1058</v>
      </c>
      <c r="E52" s="38">
        <v>41206</v>
      </c>
      <c r="F52" s="84" t="s">
        <v>682</v>
      </c>
      <c r="G52" s="1654"/>
      <c r="H52" s="1647"/>
      <c r="I52" s="1626"/>
      <c r="J52" s="1645"/>
      <c r="K52" s="1645"/>
      <c r="L52" s="66" t="s">
        <v>1106</v>
      </c>
      <c r="M52" s="68" t="s">
        <v>1169</v>
      </c>
      <c r="N52" s="69"/>
    </row>
    <row r="53" spans="1:14" x14ac:dyDescent="0.2">
      <c r="A53" s="78">
        <v>426</v>
      </c>
      <c r="B53" s="68" t="s">
        <v>1170</v>
      </c>
      <c r="C53" s="1642"/>
      <c r="D53" s="66" t="s">
        <v>1058</v>
      </c>
      <c r="E53" s="38">
        <v>41206</v>
      </c>
      <c r="F53" s="84" t="s">
        <v>682</v>
      </c>
      <c r="G53" s="1654"/>
      <c r="H53" s="1647"/>
      <c r="I53" s="1626"/>
      <c r="J53" s="1645"/>
      <c r="K53" s="1645"/>
      <c r="L53" s="66" t="s">
        <v>1106</v>
      </c>
      <c r="M53" s="68" t="s">
        <v>1171</v>
      </c>
      <c r="N53" s="69"/>
    </row>
    <row r="54" spans="1:14" x14ac:dyDescent="0.2">
      <c r="A54" s="78">
        <v>427</v>
      </c>
      <c r="B54" s="68" t="s">
        <v>1172</v>
      </c>
      <c r="C54" s="1642"/>
      <c r="D54" s="66" t="s">
        <v>1058</v>
      </c>
      <c r="E54" s="38">
        <v>41206</v>
      </c>
      <c r="F54" s="84" t="s">
        <v>682</v>
      </c>
      <c r="G54" s="1654"/>
      <c r="H54" s="1647"/>
      <c r="I54" s="1626"/>
      <c r="J54" s="1645"/>
      <c r="K54" s="1645"/>
      <c r="L54" s="66" t="s">
        <v>1106</v>
      </c>
      <c r="M54" s="68" t="s">
        <v>1173</v>
      </c>
      <c r="N54" s="69"/>
    </row>
    <row r="55" spans="1:14" x14ac:dyDescent="0.2">
      <c r="A55" s="78">
        <v>428</v>
      </c>
      <c r="B55" s="68" t="s">
        <v>1174</v>
      </c>
      <c r="C55" s="1642"/>
      <c r="D55" s="66" t="s">
        <v>1058</v>
      </c>
      <c r="E55" s="38">
        <v>41206</v>
      </c>
      <c r="F55" s="84" t="s">
        <v>682</v>
      </c>
      <c r="G55" s="1654"/>
      <c r="H55" s="1647"/>
      <c r="I55" s="1626"/>
      <c r="J55" s="1645"/>
      <c r="K55" s="1645"/>
      <c r="L55" s="66" t="s">
        <v>1106</v>
      </c>
      <c r="M55" s="68" t="s">
        <v>1175</v>
      </c>
      <c r="N55" s="69"/>
    </row>
    <row r="56" spans="1:14" x14ac:dyDescent="0.2">
      <c r="A56" s="78">
        <v>429</v>
      </c>
      <c r="B56" s="68" t="s">
        <v>1176</v>
      </c>
      <c r="C56" s="1642"/>
      <c r="D56" s="66" t="s">
        <v>1058</v>
      </c>
      <c r="E56" s="38">
        <v>41206</v>
      </c>
      <c r="F56" s="84" t="s">
        <v>682</v>
      </c>
      <c r="G56" s="1654"/>
      <c r="H56" s="1647"/>
      <c r="I56" s="1626"/>
      <c r="J56" s="1645"/>
      <c r="K56" s="1645"/>
      <c r="L56" s="66" t="s">
        <v>1106</v>
      </c>
      <c r="M56" s="68" t="s">
        <v>1177</v>
      </c>
      <c r="N56" s="69"/>
    </row>
    <row r="57" spans="1:14" x14ac:dyDescent="0.2">
      <c r="A57" s="78">
        <v>430</v>
      </c>
      <c r="B57" s="68" t="s">
        <v>1178</v>
      </c>
      <c r="C57" s="1642"/>
      <c r="D57" s="66" t="s">
        <v>1058</v>
      </c>
      <c r="E57" s="38">
        <v>41206</v>
      </c>
      <c r="F57" s="84" t="s">
        <v>682</v>
      </c>
      <c r="G57" s="1654"/>
      <c r="H57" s="1647"/>
      <c r="I57" s="1626"/>
      <c r="J57" s="1645"/>
      <c r="K57" s="1645"/>
      <c r="L57" s="66" t="s">
        <v>1106</v>
      </c>
      <c r="M57" s="68" t="s">
        <v>1179</v>
      </c>
      <c r="N57" s="69"/>
    </row>
    <row r="58" spans="1:14" x14ac:dyDescent="0.2">
      <c r="A58" s="78">
        <v>431</v>
      </c>
      <c r="B58" s="68" t="s">
        <v>1180</v>
      </c>
      <c r="C58" s="1642"/>
      <c r="D58" s="66" t="s">
        <v>1058</v>
      </c>
      <c r="E58" s="38">
        <v>41206</v>
      </c>
      <c r="F58" s="84" t="s">
        <v>682</v>
      </c>
      <c r="G58" s="1654"/>
      <c r="H58" s="1647"/>
      <c r="I58" s="1626"/>
      <c r="J58" s="1645"/>
      <c r="K58" s="1645"/>
      <c r="L58" s="66" t="s">
        <v>1106</v>
      </c>
      <c r="M58" s="68" t="s">
        <v>1181</v>
      </c>
      <c r="N58" s="69"/>
    </row>
    <row r="59" spans="1:14" x14ac:dyDescent="0.2">
      <c r="A59" s="78">
        <v>432</v>
      </c>
      <c r="B59" s="68" t="s">
        <v>1182</v>
      </c>
      <c r="C59" s="1642"/>
      <c r="D59" s="66" t="s">
        <v>1058</v>
      </c>
      <c r="E59" s="38">
        <v>41206</v>
      </c>
      <c r="F59" s="84" t="s">
        <v>682</v>
      </c>
      <c r="G59" s="1654"/>
      <c r="H59" s="1647"/>
      <c r="I59" s="1626"/>
      <c r="J59" s="1645"/>
      <c r="K59" s="1645"/>
      <c r="L59" s="66" t="s">
        <v>1106</v>
      </c>
      <c r="M59" s="68" t="s">
        <v>1183</v>
      </c>
      <c r="N59" s="69"/>
    </row>
    <row r="60" spans="1:14" x14ac:dyDescent="0.2">
      <c r="A60" s="78">
        <v>433</v>
      </c>
      <c r="B60" s="68" t="s">
        <v>1184</v>
      </c>
      <c r="C60" s="1642"/>
      <c r="D60" s="66" t="s">
        <v>1058</v>
      </c>
      <c r="E60" s="38">
        <v>41206</v>
      </c>
      <c r="F60" s="84" t="s">
        <v>682</v>
      </c>
      <c r="G60" s="1654"/>
      <c r="H60" s="1647"/>
      <c r="I60" s="1626"/>
      <c r="J60" s="1645"/>
      <c r="K60" s="1645"/>
      <c r="L60" s="66" t="s">
        <v>1106</v>
      </c>
      <c r="M60" s="68" t="s">
        <v>1185</v>
      </c>
      <c r="N60" s="69"/>
    </row>
    <row r="61" spans="1:14" x14ac:dyDescent="0.2">
      <c r="A61" s="78">
        <v>434</v>
      </c>
      <c r="B61" s="68" t="s">
        <v>1186</v>
      </c>
      <c r="C61" s="1642"/>
      <c r="D61" s="66" t="s">
        <v>1058</v>
      </c>
      <c r="E61" s="38">
        <v>41206</v>
      </c>
      <c r="F61" s="84" t="s">
        <v>682</v>
      </c>
      <c r="G61" s="1654"/>
      <c r="H61" s="1647"/>
      <c r="I61" s="1626"/>
      <c r="J61" s="1645"/>
      <c r="K61" s="1645"/>
      <c r="L61" s="66" t="s">
        <v>1106</v>
      </c>
      <c r="M61" s="68" t="s">
        <v>1187</v>
      </c>
      <c r="N61" s="69"/>
    </row>
    <row r="62" spans="1:14" x14ac:dyDescent="0.2">
      <c r="A62" s="78">
        <v>435</v>
      </c>
      <c r="B62" s="68" t="s">
        <v>1188</v>
      </c>
      <c r="C62" s="1642"/>
      <c r="D62" s="66" t="s">
        <v>1058</v>
      </c>
      <c r="E62" s="38">
        <v>41206</v>
      </c>
      <c r="F62" s="84" t="s">
        <v>682</v>
      </c>
      <c r="G62" s="1654"/>
      <c r="H62" s="1647"/>
      <c r="I62" s="1626"/>
      <c r="J62" s="1645"/>
      <c r="K62" s="1645"/>
      <c r="L62" s="66" t="s">
        <v>1106</v>
      </c>
      <c r="M62" s="68" t="s">
        <v>1189</v>
      </c>
      <c r="N62" s="69"/>
    </row>
    <row r="63" spans="1:14" x14ac:dyDescent="0.2">
      <c r="A63" s="78">
        <v>436</v>
      </c>
      <c r="B63" s="68" t="s">
        <v>1190</v>
      </c>
      <c r="C63" s="1642"/>
      <c r="D63" s="66" t="s">
        <v>1058</v>
      </c>
      <c r="E63" s="38">
        <v>41206</v>
      </c>
      <c r="F63" s="84" t="s">
        <v>682</v>
      </c>
      <c r="G63" s="1654"/>
      <c r="H63" s="1647"/>
      <c r="I63" s="1626"/>
      <c r="J63" s="1645"/>
      <c r="K63" s="1645"/>
      <c r="L63" s="66" t="s">
        <v>1106</v>
      </c>
      <c r="M63" s="68" t="s">
        <v>1191</v>
      </c>
      <c r="N63" s="69"/>
    </row>
    <row r="64" spans="1:14" x14ac:dyDescent="0.2">
      <c r="A64" s="78">
        <v>437</v>
      </c>
      <c r="B64" s="68" t="s">
        <v>1192</v>
      </c>
      <c r="C64" s="1643"/>
      <c r="D64" s="66" t="s">
        <v>1058</v>
      </c>
      <c r="E64" s="38">
        <v>41206</v>
      </c>
      <c r="F64" s="84" t="s">
        <v>682</v>
      </c>
      <c r="G64" s="1654"/>
      <c r="H64" s="1647"/>
      <c r="I64" s="1627"/>
      <c r="J64" s="1646"/>
      <c r="K64" s="1646"/>
      <c r="L64" s="66" t="s">
        <v>1106</v>
      </c>
      <c r="M64" s="68" t="s">
        <v>1193</v>
      </c>
      <c r="N64" s="69"/>
    </row>
    <row r="65" spans="1:14" x14ac:dyDescent="0.2">
      <c r="A65" s="78">
        <v>438</v>
      </c>
      <c r="B65" s="68" t="s">
        <v>1194</v>
      </c>
      <c r="C65" s="1641" t="s">
        <v>1102</v>
      </c>
      <c r="D65" s="66" t="s">
        <v>1060</v>
      </c>
      <c r="E65" s="38">
        <v>41070</v>
      </c>
      <c r="F65" s="84" t="s">
        <v>682</v>
      </c>
      <c r="G65" s="1654">
        <v>15</v>
      </c>
      <c r="H65" s="1647">
        <v>15</v>
      </c>
      <c r="I65" s="1625">
        <f>COUNTIF(F65:F79,"S")</f>
        <v>15</v>
      </c>
      <c r="J65" s="1644">
        <f>I65/G65</f>
        <v>1</v>
      </c>
      <c r="K65" s="1644">
        <f>IF(I65/H65&gt;1,1,I65/H65)</f>
        <v>1</v>
      </c>
      <c r="L65" s="66" t="s">
        <v>1106</v>
      </c>
      <c r="M65" s="68" t="s">
        <v>1195</v>
      </c>
      <c r="N65" s="69"/>
    </row>
    <row r="66" spans="1:14" x14ac:dyDescent="0.2">
      <c r="A66" s="78">
        <v>439</v>
      </c>
      <c r="B66" s="68" t="s">
        <v>1196</v>
      </c>
      <c r="C66" s="1642"/>
      <c r="D66" s="66" t="s">
        <v>1060</v>
      </c>
      <c r="E66" s="38">
        <v>41070</v>
      </c>
      <c r="F66" s="84" t="s">
        <v>682</v>
      </c>
      <c r="G66" s="1654"/>
      <c r="H66" s="1647"/>
      <c r="I66" s="1626"/>
      <c r="J66" s="1645"/>
      <c r="K66" s="1645"/>
      <c r="L66" s="66" t="s">
        <v>1106</v>
      </c>
      <c r="M66" s="68" t="s">
        <v>1197</v>
      </c>
      <c r="N66" s="69"/>
    </row>
    <row r="67" spans="1:14" x14ac:dyDescent="0.2">
      <c r="A67" s="78">
        <v>440</v>
      </c>
      <c r="B67" s="68" t="s">
        <v>1198</v>
      </c>
      <c r="C67" s="1642"/>
      <c r="D67" s="66" t="s">
        <v>1060</v>
      </c>
      <c r="E67" s="38">
        <v>41070</v>
      </c>
      <c r="F67" s="84" t="s">
        <v>682</v>
      </c>
      <c r="G67" s="1654"/>
      <c r="H67" s="1647"/>
      <c r="I67" s="1626"/>
      <c r="J67" s="1645"/>
      <c r="K67" s="1645"/>
      <c r="L67" s="66" t="s">
        <v>1106</v>
      </c>
      <c r="M67" s="68" t="s">
        <v>1199</v>
      </c>
      <c r="N67" s="69"/>
    </row>
    <row r="68" spans="1:14" x14ac:dyDescent="0.2">
      <c r="A68" s="78">
        <v>441</v>
      </c>
      <c r="B68" s="68" t="s">
        <v>1200</v>
      </c>
      <c r="C68" s="1642"/>
      <c r="D68" s="66" t="s">
        <v>1060</v>
      </c>
      <c r="E68" s="38">
        <v>41070</v>
      </c>
      <c r="F68" s="84" t="s">
        <v>682</v>
      </c>
      <c r="G68" s="1654"/>
      <c r="H68" s="1647"/>
      <c r="I68" s="1626"/>
      <c r="J68" s="1645"/>
      <c r="K68" s="1645"/>
      <c r="L68" s="66" t="s">
        <v>1106</v>
      </c>
      <c r="M68" s="68" t="s">
        <v>1201</v>
      </c>
      <c r="N68" s="69"/>
    </row>
    <row r="69" spans="1:14" x14ac:dyDescent="0.2">
      <c r="A69" s="78">
        <v>442</v>
      </c>
      <c r="B69" s="68" t="s">
        <v>1202</v>
      </c>
      <c r="C69" s="1642"/>
      <c r="D69" s="66" t="s">
        <v>1060</v>
      </c>
      <c r="E69" s="38">
        <v>41070</v>
      </c>
      <c r="F69" s="84" t="s">
        <v>682</v>
      </c>
      <c r="G69" s="1654"/>
      <c r="H69" s="1647"/>
      <c r="I69" s="1626"/>
      <c r="J69" s="1645"/>
      <c r="K69" s="1645"/>
      <c r="L69" s="66" t="s">
        <v>1106</v>
      </c>
      <c r="M69" s="68" t="s">
        <v>1203</v>
      </c>
      <c r="N69" s="69"/>
    </row>
    <row r="70" spans="1:14" x14ac:dyDescent="0.2">
      <c r="A70" s="78">
        <v>443</v>
      </c>
      <c r="B70" s="68" t="s">
        <v>1204</v>
      </c>
      <c r="C70" s="1642"/>
      <c r="D70" s="66" t="s">
        <v>1060</v>
      </c>
      <c r="E70" s="38">
        <v>41070</v>
      </c>
      <c r="F70" s="84" t="s">
        <v>682</v>
      </c>
      <c r="G70" s="1654"/>
      <c r="H70" s="1647"/>
      <c r="I70" s="1626"/>
      <c r="J70" s="1645"/>
      <c r="K70" s="1645"/>
      <c r="L70" s="66" t="s">
        <v>1106</v>
      </c>
      <c r="M70" s="68" t="s">
        <v>1205</v>
      </c>
      <c r="N70" s="69"/>
    </row>
    <row r="71" spans="1:14" x14ac:dyDescent="0.2">
      <c r="A71" s="78">
        <v>444</v>
      </c>
      <c r="B71" s="68" t="s">
        <v>1206</v>
      </c>
      <c r="C71" s="1642"/>
      <c r="D71" s="66" t="s">
        <v>1060</v>
      </c>
      <c r="E71" s="38">
        <v>41070</v>
      </c>
      <c r="F71" s="84" t="s">
        <v>682</v>
      </c>
      <c r="G71" s="1654"/>
      <c r="H71" s="1647"/>
      <c r="I71" s="1626"/>
      <c r="J71" s="1645"/>
      <c r="K71" s="1645"/>
      <c r="L71" s="66" t="s">
        <v>1106</v>
      </c>
      <c r="M71" s="68" t="s">
        <v>1207</v>
      </c>
      <c r="N71" s="69"/>
    </row>
    <row r="72" spans="1:14" x14ac:dyDescent="0.2">
      <c r="A72" s="78">
        <v>445</v>
      </c>
      <c r="B72" s="68" t="s">
        <v>1208</v>
      </c>
      <c r="C72" s="1642"/>
      <c r="D72" s="66" t="s">
        <v>1060</v>
      </c>
      <c r="E72" s="38">
        <v>41070</v>
      </c>
      <c r="F72" s="84" t="s">
        <v>682</v>
      </c>
      <c r="G72" s="1654"/>
      <c r="H72" s="1647"/>
      <c r="I72" s="1626"/>
      <c r="J72" s="1645"/>
      <c r="K72" s="1645"/>
      <c r="L72" s="66" t="s">
        <v>1106</v>
      </c>
      <c r="M72" s="68" t="s">
        <v>1209</v>
      </c>
      <c r="N72" s="69"/>
    </row>
    <row r="73" spans="1:14" x14ac:dyDescent="0.2">
      <c r="A73" s="78">
        <v>446</v>
      </c>
      <c r="B73" s="68" t="s">
        <v>1210</v>
      </c>
      <c r="C73" s="1642"/>
      <c r="D73" s="66" t="s">
        <v>1060</v>
      </c>
      <c r="E73" s="38">
        <v>41070</v>
      </c>
      <c r="F73" s="84" t="s">
        <v>682</v>
      </c>
      <c r="G73" s="1654"/>
      <c r="H73" s="1647"/>
      <c r="I73" s="1626"/>
      <c r="J73" s="1645"/>
      <c r="K73" s="1645"/>
      <c r="L73" s="66" t="s">
        <v>1106</v>
      </c>
      <c r="M73" s="68" t="s">
        <v>1211</v>
      </c>
      <c r="N73" s="69"/>
    </row>
    <row r="74" spans="1:14" x14ac:dyDescent="0.2">
      <c r="A74" s="78">
        <v>447</v>
      </c>
      <c r="B74" s="68" t="s">
        <v>1212</v>
      </c>
      <c r="C74" s="1642"/>
      <c r="D74" s="66" t="s">
        <v>1060</v>
      </c>
      <c r="E74" s="38">
        <v>41070</v>
      </c>
      <c r="F74" s="84" t="s">
        <v>682</v>
      </c>
      <c r="G74" s="1654"/>
      <c r="H74" s="1647"/>
      <c r="I74" s="1626"/>
      <c r="J74" s="1645"/>
      <c r="K74" s="1645"/>
      <c r="L74" s="66" t="s">
        <v>1106</v>
      </c>
      <c r="M74" s="68" t="s">
        <v>1213</v>
      </c>
      <c r="N74" s="69"/>
    </row>
    <row r="75" spans="1:14" x14ac:dyDescent="0.2">
      <c r="A75" s="78">
        <v>448</v>
      </c>
      <c r="B75" s="68" t="s">
        <v>1214</v>
      </c>
      <c r="C75" s="1642"/>
      <c r="D75" s="66" t="s">
        <v>1060</v>
      </c>
      <c r="E75" s="38">
        <v>41070</v>
      </c>
      <c r="F75" s="84" t="s">
        <v>682</v>
      </c>
      <c r="G75" s="1654"/>
      <c r="H75" s="1647"/>
      <c r="I75" s="1626"/>
      <c r="J75" s="1645"/>
      <c r="K75" s="1645"/>
      <c r="L75" s="66" t="s">
        <v>1106</v>
      </c>
      <c r="M75" s="68" t="s">
        <v>1215</v>
      </c>
      <c r="N75" s="69"/>
    </row>
    <row r="76" spans="1:14" x14ac:dyDescent="0.2">
      <c r="A76" s="78">
        <v>449</v>
      </c>
      <c r="B76" s="68" t="s">
        <v>1216</v>
      </c>
      <c r="C76" s="1642"/>
      <c r="D76" s="66" t="s">
        <v>1060</v>
      </c>
      <c r="E76" s="38">
        <v>41070</v>
      </c>
      <c r="F76" s="84" t="s">
        <v>682</v>
      </c>
      <c r="G76" s="1654"/>
      <c r="H76" s="1647"/>
      <c r="I76" s="1626"/>
      <c r="J76" s="1645"/>
      <c r="K76" s="1645"/>
      <c r="L76" s="66" t="s">
        <v>1106</v>
      </c>
      <c r="M76" s="68" t="s">
        <v>1217</v>
      </c>
      <c r="N76" s="69"/>
    </row>
    <row r="77" spans="1:14" x14ac:dyDescent="0.2">
      <c r="A77" s="78">
        <v>450</v>
      </c>
      <c r="B77" s="68" t="s">
        <v>1218</v>
      </c>
      <c r="C77" s="1642"/>
      <c r="D77" s="66" t="s">
        <v>1060</v>
      </c>
      <c r="E77" s="38">
        <v>41070</v>
      </c>
      <c r="F77" s="84" t="s">
        <v>682</v>
      </c>
      <c r="G77" s="1654"/>
      <c r="H77" s="1647"/>
      <c r="I77" s="1626"/>
      <c r="J77" s="1645"/>
      <c r="K77" s="1645"/>
      <c r="L77" s="66" t="s">
        <v>1106</v>
      </c>
      <c r="M77" s="68" t="s">
        <v>1219</v>
      </c>
      <c r="N77" s="69"/>
    </row>
    <row r="78" spans="1:14" x14ac:dyDescent="0.2">
      <c r="A78" s="78">
        <v>451</v>
      </c>
      <c r="B78" s="68" t="s">
        <v>1220</v>
      </c>
      <c r="C78" s="1642"/>
      <c r="D78" s="66" t="s">
        <v>1060</v>
      </c>
      <c r="E78" s="38">
        <v>41070</v>
      </c>
      <c r="F78" s="84" t="s">
        <v>682</v>
      </c>
      <c r="G78" s="1654"/>
      <c r="H78" s="1647"/>
      <c r="I78" s="1626"/>
      <c r="J78" s="1645"/>
      <c r="K78" s="1645"/>
      <c r="L78" s="66" t="s">
        <v>1106</v>
      </c>
      <c r="M78" s="68" t="s">
        <v>1221</v>
      </c>
      <c r="N78" s="69"/>
    </row>
    <row r="79" spans="1:14" x14ac:dyDescent="0.2">
      <c r="A79" s="78">
        <v>452</v>
      </c>
      <c r="B79" s="68" t="s">
        <v>1222</v>
      </c>
      <c r="C79" s="1643"/>
      <c r="D79" s="66" t="s">
        <v>1060</v>
      </c>
      <c r="E79" s="38">
        <v>41070</v>
      </c>
      <c r="F79" s="84" t="s">
        <v>682</v>
      </c>
      <c r="G79" s="1654"/>
      <c r="H79" s="1647"/>
      <c r="I79" s="1627"/>
      <c r="J79" s="1646"/>
      <c r="K79" s="1646"/>
      <c r="L79" s="66" t="s">
        <v>1106</v>
      </c>
      <c r="M79" s="68" t="s">
        <v>1223</v>
      </c>
      <c r="N79" s="69"/>
    </row>
    <row r="80" spans="1:14" x14ac:dyDescent="0.2">
      <c r="A80" s="78">
        <v>453</v>
      </c>
      <c r="B80" s="68" t="s">
        <v>1224</v>
      </c>
      <c r="C80" s="1641" t="s">
        <v>1102</v>
      </c>
      <c r="D80" s="66" t="s">
        <v>1062</v>
      </c>
      <c r="E80" s="38">
        <v>40799</v>
      </c>
      <c r="F80" s="84" t="s">
        <v>682</v>
      </c>
      <c r="G80" s="1654">
        <v>15</v>
      </c>
      <c r="H80" s="1647">
        <v>15</v>
      </c>
      <c r="I80" s="1625">
        <f>COUNTIF(F80:F94,"S")</f>
        <v>15</v>
      </c>
      <c r="J80" s="1644">
        <f>I80/G80</f>
        <v>1</v>
      </c>
      <c r="K80" s="1644">
        <f>IF(I80/H80&gt;1,1,I80/H80)</f>
        <v>1</v>
      </c>
      <c r="L80" s="66" t="s">
        <v>1106</v>
      </c>
      <c r="M80" s="68" t="s">
        <v>1225</v>
      </c>
      <c r="N80" s="69"/>
    </row>
    <row r="81" spans="1:14" x14ac:dyDescent="0.2">
      <c r="A81" s="78">
        <v>454</v>
      </c>
      <c r="B81" s="68" t="s">
        <v>1226</v>
      </c>
      <c r="C81" s="1642"/>
      <c r="D81" s="66" t="s">
        <v>1062</v>
      </c>
      <c r="E81" s="38">
        <v>40799</v>
      </c>
      <c r="F81" s="84" t="s">
        <v>682</v>
      </c>
      <c r="G81" s="1654"/>
      <c r="H81" s="1647"/>
      <c r="I81" s="1626"/>
      <c r="J81" s="1645"/>
      <c r="K81" s="1645"/>
      <c r="L81" s="66" t="s">
        <v>1106</v>
      </c>
      <c r="M81" s="68" t="s">
        <v>1227</v>
      </c>
      <c r="N81" s="69"/>
    </row>
    <row r="82" spans="1:14" x14ac:dyDescent="0.2">
      <c r="A82" s="78">
        <v>455</v>
      </c>
      <c r="B82" s="68" t="s">
        <v>1228</v>
      </c>
      <c r="C82" s="1642"/>
      <c r="D82" s="66" t="s">
        <v>1062</v>
      </c>
      <c r="E82" s="38">
        <v>40799</v>
      </c>
      <c r="F82" s="84" t="s">
        <v>682</v>
      </c>
      <c r="G82" s="1654"/>
      <c r="H82" s="1647"/>
      <c r="I82" s="1626"/>
      <c r="J82" s="1645"/>
      <c r="K82" s="1645"/>
      <c r="L82" s="66" t="s">
        <v>1106</v>
      </c>
      <c r="M82" s="68" t="s">
        <v>1229</v>
      </c>
      <c r="N82" s="69"/>
    </row>
    <row r="83" spans="1:14" x14ac:dyDescent="0.2">
      <c r="A83" s="78">
        <v>456</v>
      </c>
      <c r="B83" s="68" t="s">
        <v>1230</v>
      </c>
      <c r="C83" s="1642"/>
      <c r="D83" s="66" t="s">
        <v>1062</v>
      </c>
      <c r="E83" s="38">
        <v>40799</v>
      </c>
      <c r="F83" s="84" t="s">
        <v>682</v>
      </c>
      <c r="G83" s="1654"/>
      <c r="H83" s="1647"/>
      <c r="I83" s="1626"/>
      <c r="J83" s="1645"/>
      <c r="K83" s="1645"/>
      <c r="L83" s="66" t="s">
        <v>1106</v>
      </c>
      <c r="M83" s="68" t="s">
        <v>1231</v>
      </c>
      <c r="N83" s="69"/>
    </row>
    <row r="84" spans="1:14" x14ac:dyDescent="0.2">
      <c r="A84" s="78">
        <v>457</v>
      </c>
      <c r="B84" s="68" t="s">
        <v>1232</v>
      </c>
      <c r="C84" s="1642"/>
      <c r="D84" s="66" t="s">
        <v>1062</v>
      </c>
      <c r="E84" s="38">
        <v>40799</v>
      </c>
      <c r="F84" s="84" t="s">
        <v>682</v>
      </c>
      <c r="G84" s="1654"/>
      <c r="H84" s="1647"/>
      <c r="I84" s="1626"/>
      <c r="J84" s="1645"/>
      <c r="K84" s="1645"/>
      <c r="L84" s="66" t="s">
        <v>1106</v>
      </c>
      <c r="M84" s="68" t="s">
        <v>1233</v>
      </c>
      <c r="N84" s="69"/>
    </row>
    <row r="85" spans="1:14" x14ac:dyDescent="0.2">
      <c r="A85" s="78">
        <v>458</v>
      </c>
      <c r="B85" s="68" t="s">
        <v>1234</v>
      </c>
      <c r="C85" s="1642"/>
      <c r="D85" s="66" t="s">
        <v>1062</v>
      </c>
      <c r="E85" s="38">
        <v>40799</v>
      </c>
      <c r="F85" s="84" t="s">
        <v>682</v>
      </c>
      <c r="G85" s="1654"/>
      <c r="H85" s="1647"/>
      <c r="I85" s="1626"/>
      <c r="J85" s="1645"/>
      <c r="K85" s="1645"/>
      <c r="L85" s="66" t="s">
        <v>1106</v>
      </c>
      <c r="M85" s="68" t="s">
        <v>1235</v>
      </c>
      <c r="N85" s="69"/>
    </row>
    <row r="86" spans="1:14" x14ac:dyDescent="0.2">
      <c r="A86" s="78">
        <v>459</v>
      </c>
      <c r="B86" s="68" t="s">
        <v>1236</v>
      </c>
      <c r="C86" s="1642"/>
      <c r="D86" s="66" t="s">
        <v>1062</v>
      </c>
      <c r="E86" s="38">
        <v>40799</v>
      </c>
      <c r="F86" s="84" t="s">
        <v>682</v>
      </c>
      <c r="G86" s="1654"/>
      <c r="H86" s="1647"/>
      <c r="I86" s="1626"/>
      <c r="J86" s="1645"/>
      <c r="K86" s="1645"/>
      <c r="L86" s="66" t="s">
        <v>1106</v>
      </c>
      <c r="M86" s="68" t="s">
        <v>1237</v>
      </c>
      <c r="N86" s="69"/>
    </row>
    <row r="87" spans="1:14" x14ac:dyDescent="0.2">
      <c r="A87" s="78">
        <v>460</v>
      </c>
      <c r="B87" s="68" t="s">
        <v>1238</v>
      </c>
      <c r="C87" s="1642"/>
      <c r="D87" s="66" t="s">
        <v>1062</v>
      </c>
      <c r="E87" s="38">
        <v>40799</v>
      </c>
      <c r="F87" s="84" t="s">
        <v>682</v>
      </c>
      <c r="G87" s="1654"/>
      <c r="H87" s="1647"/>
      <c r="I87" s="1626"/>
      <c r="J87" s="1645"/>
      <c r="K87" s="1645"/>
      <c r="L87" s="66" t="s">
        <v>1106</v>
      </c>
      <c r="M87" s="68" t="s">
        <v>1239</v>
      </c>
      <c r="N87" s="69"/>
    </row>
    <row r="88" spans="1:14" x14ac:dyDescent="0.2">
      <c r="A88" s="78">
        <v>461</v>
      </c>
      <c r="B88" s="68" t="s">
        <v>1240</v>
      </c>
      <c r="C88" s="1642"/>
      <c r="D88" s="66" t="s">
        <v>1062</v>
      </c>
      <c r="E88" s="38">
        <v>40799</v>
      </c>
      <c r="F88" s="84" t="s">
        <v>682</v>
      </c>
      <c r="G88" s="1654"/>
      <c r="H88" s="1647"/>
      <c r="I88" s="1626"/>
      <c r="J88" s="1645"/>
      <c r="K88" s="1645"/>
      <c r="L88" s="66" t="s">
        <v>1106</v>
      </c>
      <c r="M88" s="68" t="s">
        <v>1241</v>
      </c>
      <c r="N88" s="69"/>
    </row>
    <row r="89" spans="1:14" x14ac:dyDescent="0.2">
      <c r="A89" s="78">
        <v>462</v>
      </c>
      <c r="B89" s="68" t="s">
        <v>1242</v>
      </c>
      <c r="C89" s="1642"/>
      <c r="D89" s="66" t="s">
        <v>1062</v>
      </c>
      <c r="E89" s="38">
        <v>40799</v>
      </c>
      <c r="F89" s="84" t="s">
        <v>682</v>
      </c>
      <c r="G89" s="1654"/>
      <c r="H89" s="1647"/>
      <c r="I89" s="1626"/>
      <c r="J89" s="1645"/>
      <c r="K89" s="1645"/>
      <c r="L89" s="66" t="s">
        <v>1106</v>
      </c>
      <c r="M89" s="68" t="s">
        <v>1243</v>
      </c>
      <c r="N89" s="69"/>
    </row>
    <row r="90" spans="1:14" x14ac:dyDescent="0.2">
      <c r="A90" s="78">
        <v>463</v>
      </c>
      <c r="B90" s="68" t="s">
        <v>1244</v>
      </c>
      <c r="C90" s="1642"/>
      <c r="D90" s="66" t="s">
        <v>1062</v>
      </c>
      <c r="E90" s="38">
        <v>40799</v>
      </c>
      <c r="F90" s="84" t="s">
        <v>682</v>
      </c>
      <c r="G90" s="1654"/>
      <c r="H90" s="1647"/>
      <c r="I90" s="1626"/>
      <c r="J90" s="1645"/>
      <c r="K90" s="1645"/>
      <c r="L90" s="66" t="s">
        <v>1106</v>
      </c>
      <c r="M90" s="68" t="s">
        <v>1245</v>
      </c>
      <c r="N90" s="69"/>
    </row>
    <row r="91" spans="1:14" x14ac:dyDescent="0.2">
      <c r="A91" s="78">
        <v>464</v>
      </c>
      <c r="B91" s="68" t="s">
        <v>1246</v>
      </c>
      <c r="C91" s="1642"/>
      <c r="D91" s="66" t="s">
        <v>1062</v>
      </c>
      <c r="E91" s="38">
        <v>40799</v>
      </c>
      <c r="F91" s="84" t="s">
        <v>682</v>
      </c>
      <c r="G91" s="1654"/>
      <c r="H91" s="1647"/>
      <c r="I91" s="1626"/>
      <c r="J91" s="1645"/>
      <c r="K91" s="1645"/>
      <c r="L91" s="66" t="s">
        <v>1106</v>
      </c>
      <c r="M91" s="68" t="s">
        <v>1247</v>
      </c>
      <c r="N91" s="69"/>
    </row>
    <row r="92" spans="1:14" x14ac:dyDescent="0.2">
      <c r="A92" s="78">
        <v>465</v>
      </c>
      <c r="B92" s="68" t="s">
        <v>1248</v>
      </c>
      <c r="C92" s="1642"/>
      <c r="D92" s="66" t="s">
        <v>1062</v>
      </c>
      <c r="E92" s="38">
        <v>40799</v>
      </c>
      <c r="F92" s="84" t="s">
        <v>682</v>
      </c>
      <c r="G92" s="1654"/>
      <c r="H92" s="1647"/>
      <c r="I92" s="1626"/>
      <c r="J92" s="1645"/>
      <c r="K92" s="1645"/>
      <c r="L92" s="66" t="s">
        <v>1106</v>
      </c>
      <c r="M92" s="68" t="s">
        <v>1249</v>
      </c>
      <c r="N92" s="69"/>
    </row>
    <row r="93" spans="1:14" x14ac:dyDescent="0.2">
      <c r="A93" s="78">
        <v>466</v>
      </c>
      <c r="B93" s="68" t="s">
        <v>1250</v>
      </c>
      <c r="C93" s="1642"/>
      <c r="D93" s="66" t="s">
        <v>1062</v>
      </c>
      <c r="E93" s="38">
        <v>40799</v>
      </c>
      <c r="F93" s="84" t="s">
        <v>682</v>
      </c>
      <c r="G93" s="1654"/>
      <c r="H93" s="1647"/>
      <c r="I93" s="1626"/>
      <c r="J93" s="1645"/>
      <c r="K93" s="1645"/>
      <c r="L93" s="66" t="s">
        <v>1106</v>
      </c>
      <c r="M93" s="68" t="s">
        <v>1251</v>
      </c>
      <c r="N93" s="69"/>
    </row>
    <row r="94" spans="1:14" x14ac:dyDescent="0.2">
      <c r="A94" s="78">
        <v>467</v>
      </c>
      <c r="B94" s="68" t="s">
        <v>1252</v>
      </c>
      <c r="C94" s="1643"/>
      <c r="D94" s="66" t="s">
        <v>1062</v>
      </c>
      <c r="E94" s="38">
        <v>40799</v>
      </c>
      <c r="F94" s="84" t="s">
        <v>682</v>
      </c>
      <c r="G94" s="1654"/>
      <c r="H94" s="1647"/>
      <c r="I94" s="1627"/>
      <c r="J94" s="1646"/>
      <c r="K94" s="1646"/>
      <c r="L94" s="66" t="s">
        <v>1106</v>
      </c>
      <c r="M94" s="68" t="s">
        <v>1253</v>
      </c>
      <c r="N94" s="69"/>
    </row>
    <row r="95" spans="1:14" x14ac:dyDescent="0.2">
      <c r="A95" s="78">
        <v>468</v>
      </c>
      <c r="B95" s="68" t="s">
        <v>1254</v>
      </c>
      <c r="C95" s="1641" t="s">
        <v>1102</v>
      </c>
      <c r="D95" s="66" t="s">
        <v>1067</v>
      </c>
      <c r="E95" s="38">
        <v>41102</v>
      </c>
      <c r="F95" s="84" t="s">
        <v>682</v>
      </c>
      <c r="G95" s="1654">
        <v>15</v>
      </c>
      <c r="H95" s="1647">
        <v>15</v>
      </c>
      <c r="I95" s="1625">
        <f>COUNTIF(F95:F109,"S")</f>
        <v>15</v>
      </c>
      <c r="J95" s="1644">
        <f>I95/G95</f>
        <v>1</v>
      </c>
      <c r="K95" s="1644">
        <f>IF(I95/H95&gt;1,1,I95/H95)</f>
        <v>1</v>
      </c>
      <c r="L95" s="66" t="s">
        <v>1106</v>
      </c>
      <c r="M95" s="68" t="s">
        <v>1255</v>
      </c>
      <c r="N95" s="69"/>
    </row>
    <row r="96" spans="1:14" x14ac:dyDescent="0.2">
      <c r="A96" s="78">
        <v>469</v>
      </c>
      <c r="B96" s="68" t="s">
        <v>1256</v>
      </c>
      <c r="C96" s="1642"/>
      <c r="D96" s="66" t="s">
        <v>1067</v>
      </c>
      <c r="E96" s="38">
        <v>41102</v>
      </c>
      <c r="F96" s="84" t="s">
        <v>682</v>
      </c>
      <c r="G96" s="1654"/>
      <c r="H96" s="1647"/>
      <c r="I96" s="1626"/>
      <c r="J96" s="1645"/>
      <c r="K96" s="1645"/>
      <c r="L96" s="66" t="s">
        <v>1106</v>
      </c>
      <c r="M96" s="68" t="s">
        <v>1257</v>
      </c>
      <c r="N96" s="69"/>
    </row>
    <row r="97" spans="1:14" x14ac:dyDescent="0.2">
      <c r="A97" s="78">
        <v>470</v>
      </c>
      <c r="B97" s="68" t="s">
        <v>1258</v>
      </c>
      <c r="C97" s="1642"/>
      <c r="D97" s="66" t="s">
        <v>1067</v>
      </c>
      <c r="E97" s="38">
        <v>41102</v>
      </c>
      <c r="F97" s="84" t="s">
        <v>682</v>
      </c>
      <c r="G97" s="1654"/>
      <c r="H97" s="1647"/>
      <c r="I97" s="1626"/>
      <c r="J97" s="1645"/>
      <c r="K97" s="1645"/>
      <c r="L97" s="66" t="s">
        <v>1106</v>
      </c>
      <c r="M97" s="68" t="s">
        <v>1259</v>
      </c>
      <c r="N97" s="69"/>
    </row>
    <row r="98" spans="1:14" x14ac:dyDescent="0.2">
      <c r="A98" s="78">
        <v>471</v>
      </c>
      <c r="B98" s="68" t="s">
        <v>1260</v>
      </c>
      <c r="C98" s="1642"/>
      <c r="D98" s="66" t="s">
        <v>1067</v>
      </c>
      <c r="E98" s="38">
        <v>41102</v>
      </c>
      <c r="F98" s="84" t="s">
        <v>682</v>
      </c>
      <c r="G98" s="1654"/>
      <c r="H98" s="1647"/>
      <c r="I98" s="1626"/>
      <c r="J98" s="1645"/>
      <c r="K98" s="1645"/>
      <c r="L98" s="66" t="s">
        <v>1106</v>
      </c>
      <c r="M98" s="68" t="s">
        <v>1261</v>
      </c>
      <c r="N98" s="69"/>
    </row>
    <row r="99" spans="1:14" x14ac:dyDescent="0.2">
      <c r="A99" s="78">
        <v>472</v>
      </c>
      <c r="B99" s="68" t="s">
        <v>1262</v>
      </c>
      <c r="C99" s="1642"/>
      <c r="D99" s="66" t="s">
        <v>1067</v>
      </c>
      <c r="E99" s="38">
        <v>41102</v>
      </c>
      <c r="F99" s="84" t="s">
        <v>682</v>
      </c>
      <c r="G99" s="1654"/>
      <c r="H99" s="1647"/>
      <c r="I99" s="1626"/>
      <c r="J99" s="1645"/>
      <c r="K99" s="1645"/>
      <c r="L99" s="66" t="s">
        <v>1106</v>
      </c>
      <c r="M99" s="68" t="s">
        <v>1263</v>
      </c>
      <c r="N99" s="69"/>
    </row>
    <row r="100" spans="1:14" x14ac:dyDescent="0.2">
      <c r="A100" s="78">
        <v>473</v>
      </c>
      <c r="B100" s="68" t="s">
        <v>1264</v>
      </c>
      <c r="C100" s="1642"/>
      <c r="D100" s="66" t="s">
        <v>1067</v>
      </c>
      <c r="E100" s="38">
        <v>41102</v>
      </c>
      <c r="F100" s="84" t="s">
        <v>682</v>
      </c>
      <c r="G100" s="1654"/>
      <c r="H100" s="1647"/>
      <c r="I100" s="1626"/>
      <c r="J100" s="1645"/>
      <c r="K100" s="1645"/>
      <c r="L100" s="66" t="s">
        <v>1106</v>
      </c>
      <c r="M100" s="68" t="s">
        <v>1265</v>
      </c>
      <c r="N100" s="69"/>
    </row>
    <row r="101" spans="1:14" x14ac:dyDescent="0.2">
      <c r="A101" s="78">
        <v>474</v>
      </c>
      <c r="B101" s="68" t="s">
        <v>1266</v>
      </c>
      <c r="C101" s="1642"/>
      <c r="D101" s="66" t="s">
        <v>1067</v>
      </c>
      <c r="E101" s="38">
        <v>41102</v>
      </c>
      <c r="F101" s="84" t="s">
        <v>682</v>
      </c>
      <c r="G101" s="1654"/>
      <c r="H101" s="1647"/>
      <c r="I101" s="1626"/>
      <c r="J101" s="1645"/>
      <c r="K101" s="1645"/>
      <c r="L101" s="66" t="s">
        <v>1106</v>
      </c>
      <c r="M101" s="68" t="s">
        <v>1267</v>
      </c>
      <c r="N101" s="69"/>
    </row>
    <row r="102" spans="1:14" x14ac:dyDescent="0.2">
      <c r="A102" s="78">
        <v>475</v>
      </c>
      <c r="B102" s="68" t="s">
        <v>1268</v>
      </c>
      <c r="C102" s="1642"/>
      <c r="D102" s="66" t="s">
        <v>1067</v>
      </c>
      <c r="E102" s="38">
        <v>41102</v>
      </c>
      <c r="F102" s="84" t="s">
        <v>682</v>
      </c>
      <c r="G102" s="1654"/>
      <c r="H102" s="1647"/>
      <c r="I102" s="1626"/>
      <c r="J102" s="1645"/>
      <c r="K102" s="1645"/>
      <c r="L102" s="66" t="s">
        <v>1106</v>
      </c>
      <c r="M102" s="68" t="s">
        <v>1269</v>
      </c>
      <c r="N102" s="69"/>
    </row>
    <row r="103" spans="1:14" x14ac:dyDescent="0.2">
      <c r="A103" s="78">
        <v>476</v>
      </c>
      <c r="B103" s="68" t="s">
        <v>1270</v>
      </c>
      <c r="C103" s="1642"/>
      <c r="D103" s="66" t="s">
        <v>1067</v>
      </c>
      <c r="E103" s="38">
        <v>41102</v>
      </c>
      <c r="F103" s="84" t="s">
        <v>682</v>
      </c>
      <c r="G103" s="1654"/>
      <c r="H103" s="1647"/>
      <c r="I103" s="1626"/>
      <c r="J103" s="1645"/>
      <c r="K103" s="1645"/>
      <c r="L103" s="66" t="s">
        <v>1106</v>
      </c>
      <c r="M103" s="68" t="s">
        <v>1271</v>
      </c>
      <c r="N103" s="69"/>
    </row>
    <row r="104" spans="1:14" x14ac:dyDescent="0.2">
      <c r="A104" s="78">
        <v>477</v>
      </c>
      <c r="B104" s="68" t="s">
        <v>1272</v>
      </c>
      <c r="C104" s="1642"/>
      <c r="D104" s="66" t="s">
        <v>1067</v>
      </c>
      <c r="E104" s="38">
        <v>41102</v>
      </c>
      <c r="F104" s="84" t="s">
        <v>682</v>
      </c>
      <c r="G104" s="1654"/>
      <c r="H104" s="1647"/>
      <c r="I104" s="1626"/>
      <c r="J104" s="1645"/>
      <c r="K104" s="1645"/>
      <c r="L104" s="66" t="s">
        <v>1106</v>
      </c>
      <c r="M104" s="68" t="s">
        <v>1273</v>
      </c>
      <c r="N104" s="69"/>
    </row>
    <row r="105" spans="1:14" x14ac:dyDescent="0.2">
      <c r="A105" s="78">
        <v>478</v>
      </c>
      <c r="B105" s="68" t="s">
        <v>1274</v>
      </c>
      <c r="C105" s="1642"/>
      <c r="D105" s="66" t="s">
        <v>1067</v>
      </c>
      <c r="E105" s="38">
        <v>41102</v>
      </c>
      <c r="F105" s="84" t="s">
        <v>682</v>
      </c>
      <c r="G105" s="1654"/>
      <c r="H105" s="1647"/>
      <c r="I105" s="1626"/>
      <c r="J105" s="1645"/>
      <c r="K105" s="1645"/>
      <c r="L105" s="66" t="s">
        <v>1106</v>
      </c>
      <c r="M105" s="68" t="s">
        <v>1275</v>
      </c>
      <c r="N105" s="69"/>
    </row>
    <row r="106" spans="1:14" x14ac:dyDescent="0.2">
      <c r="A106" s="78">
        <v>479</v>
      </c>
      <c r="B106" s="68" t="s">
        <v>1276</v>
      </c>
      <c r="C106" s="1642"/>
      <c r="D106" s="66" t="s">
        <v>1067</v>
      </c>
      <c r="E106" s="38">
        <v>41102</v>
      </c>
      <c r="F106" s="84" t="s">
        <v>682</v>
      </c>
      <c r="G106" s="1654"/>
      <c r="H106" s="1647"/>
      <c r="I106" s="1626"/>
      <c r="J106" s="1645"/>
      <c r="K106" s="1645"/>
      <c r="L106" s="66" t="s">
        <v>1106</v>
      </c>
      <c r="M106" s="68" t="s">
        <v>1277</v>
      </c>
      <c r="N106" s="69"/>
    </row>
    <row r="107" spans="1:14" x14ac:dyDescent="0.2">
      <c r="A107" s="78">
        <v>480</v>
      </c>
      <c r="B107" s="68" t="s">
        <v>1278</v>
      </c>
      <c r="C107" s="1642"/>
      <c r="D107" s="66" t="s">
        <v>1067</v>
      </c>
      <c r="E107" s="38">
        <v>41102</v>
      </c>
      <c r="F107" s="84" t="s">
        <v>682</v>
      </c>
      <c r="G107" s="1654"/>
      <c r="H107" s="1647"/>
      <c r="I107" s="1626"/>
      <c r="J107" s="1645"/>
      <c r="K107" s="1645"/>
      <c r="L107" s="66" t="s">
        <v>1106</v>
      </c>
      <c r="M107" s="68" t="s">
        <v>1279</v>
      </c>
      <c r="N107" s="69"/>
    </row>
    <row r="108" spans="1:14" x14ac:dyDescent="0.2">
      <c r="A108" s="78">
        <v>481</v>
      </c>
      <c r="B108" s="68" t="s">
        <v>1280</v>
      </c>
      <c r="C108" s="1642"/>
      <c r="D108" s="66" t="s">
        <v>1067</v>
      </c>
      <c r="E108" s="38">
        <v>41102</v>
      </c>
      <c r="F108" s="84" t="s">
        <v>682</v>
      </c>
      <c r="G108" s="1654"/>
      <c r="H108" s="1647"/>
      <c r="I108" s="1626"/>
      <c r="J108" s="1645"/>
      <c r="K108" s="1645"/>
      <c r="L108" s="66" t="s">
        <v>1106</v>
      </c>
      <c r="M108" s="68" t="s">
        <v>1281</v>
      </c>
      <c r="N108" s="69"/>
    </row>
    <row r="109" spans="1:14" x14ac:dyDescent="0.2">
      <c r="A109" s="78">
        <v>482</v>
      </c>
      <c r="B109" s="68" t="s">
        <v>1282</v>
      </c>
      <c r="C109" s="1643"/>
      <c r="D109" s="66" t="s">
        <v>1067</v>
      </c>
      <c r="E109" s="38">
        <v>41102</v>
      </c>
      <c r="F109" s="84" t="s">
        <v>682</v>
      </c>
      <c r="G109" s="1654"/>
      <c r="H109" s="1647"/>
      <c r="I109" s="1627"/>
      <c r="J109" s="1646"/>
      <c r="K109" s="1646"/>
      <c r="L109" s="66" t="s">
        <v>1106</v>
      </c>
      <c r="M109" s="68" t="s">
        <v>1283</v>
      </c>
      <c r="N109" s="69"/>
    </row>
    <row r="110" spans="1:14" x14ac:dyDescent="0.2">
      <c r="A110" s="78">
        <v>483</v>
      </c>
      <c r="B110" s="68" t="s">
        <v>1284</v>
      </c>
      <c r="C110" s="1641" t="s">
        <v>1102</v>
      </c>
      <c r="D110" s="66" t="s">
        <v>1070</v>
      </c>
      <c r="E110" s="42"/>
      <c r="F110" s="84" t="s">
        <v>879</v>
      </c>
      <c r="G110" s="1654">
        <v>15</v>
      </c>
      <c r="H110" s="1647">
        <v>15</v>
      </c>
      <c r="I110" s="1625">
        <f>COUNTIF(F110:F124,"S")</f>
        <v>0</v>
      </c>
      <c r="J110" s="1644">
        <f>I110/G110</f>
        <v>0</v>
      </c>
      <c r="K110" s="1644">
        <f>IF(I110/H110&gt;1,1,I110/H110)</f>
        <v>0</v>
      </c>
      <c r="L110" s="66" t="s">
        <v>1106</v>
      </c>
      <c r="M110" s="68" t="s">
        <v>1285</v>
      </c>
      <c r="N110" s="69"/>
    </row>
    <row r="111" spans="1:14" x14ac:dyDescent="0.2">
      <c r="A111" s="78">
        <v>484</v>
      </c>
      <c r="B111" s="68" t="s">
        <v>1286</v>
      </c>
      <c r="C111" s="1642"/>
      <c r="D111" s="66" t="s">
        <v>1070</v>
      </c>
      <c r="E111" s="42"/>
      <c r="F111" s="84" t="s">
        <v>879</v>
      </c>
      <c r="G111" s="1654"/>
      <c r="H111" s="1647"/>
      <c r="I111" s="1626"/>
      <c r="J111" s="1645"/>
      <c r="K111" s="1645"/>
      <c r="L111" s="66" t="s">
        <v>1106</v>
      </c>
      <c r="M111" s="68" t="s">
        <v>1287</v>
      </c>
      <c r="N111" s="69"/>
    </row>
    <row r="112" spans="1:14" x14ac:dyDescent="0.2">
      <c r="A112" s="78">
        <v>485</v>
      </c>
      <c r="B112" s="68" t="s">
        <v>1288</v>
      </c>
      <c r="C112" s="1642"/>
      <c r="D112" s="66" t="s">
        <v>1070</v>
      </c>
      <c r="E112" s="42"/>
      <c r="F112" s="84" t="s">
        <v>879</v>
      </c>
      <c r="G112" s="1654"/>
      <c r="H112" s="1647"/>
      <c r="I112" s="1626"/>
      <c r="J112" s="1645"/>
      <c r="K112" s="1645"/>
      <c r="L112" s="66" t="s">
        <v>1106</v>
      </c>
      <c r="M112" s="68" t="s">
        <v>1289</v>
      </c>
      <c r="N112" s="69"/>
    </row>
    <row r="113" spans="1:14" x14ac:dyDescent="0.2">
      <c r="A113" s="78">
        <v>486</v>
      </c>
      <c r="B113" s="68" t="s">
        <v>1290</v>
      </c>
      <c r="C113" s="1642"/>
      <c r="D113" s="66" t="s">
        <v>1070</v>
      </c>
      <c r="E113" s="42"/>
      <c r="F113" s="84" t="s">
        <v>879</v>
      </c>
      <c r="G113" s="1654"/>
      <c r="H113" s="1647"/>
      <c r="I113" s="1626"/>
      <c r="J113" s="1645"/>
      <c r="K113" s="1645"/>
      <c r="L113" s="66" t="s">
        <v>1106</v>
      </c>
      <c r="M113" s="68" t="s">
        <v>1291</v>
      </c>
      <c r="N113" s="69"/>
    </row>
    <row r="114" spans="1:14" x14ac:dyDescent="0.2">
      <c r="A114" s="78">
        <v>487</v>
      </c>
      <c r="B114" s="68" t="s">
        <v>1292</v>
      </c>
      <c r="C114" s="1642"/>
      <c r="D114" s="66" t="s">
        <v>1070</v>
      </c>
      <c r="E114" s="42"/>
      <c r="F114" s="84" t="s">
        <v>879</v>
      </c>
      <c r="G114" s="1654"/>
      <c r="H114" s="1647"/>
      <c r="I114" s="1626"/>
      <c r="J114" s="1645"/>
      <c r="K114" s="1645"/>
      <c r="L114" s="66" t="s">
        <v>1106</v>
      </c>
      <c r="M114" s="68" t="s">
        <v>1293</v>
      </c>
      <c r="N114" s="69"/>
    </row>
    <row r="115" spans="1:14" x14ac:dyDescent="0.2">
      <c r="A115" s="78">
        <v>488</v>
      </c>
      <c r="B115" s="68" t="s">
        <v>1294</v>
      </c>
      <c r="C115" s="1642"/>
      <c r="D115" s="66" t="s">
        <v>1070</v>
      </c>
      <c r="E115" s="38"/>
      <c r="F115" s="84" t="s">
        <v>879</v>
      </c>
      <c r="G115" s="1654"/>
      <c r="H115" s="1647"/>
      <c r="I115" s="1626"/>
      <c r="J115" s="1645"/>
      <c r="K115" s="1645"/>
      <c r="L115" s="66" t="s">
        <v>1106</v>
      </c>
      <c r="M115" s="68" t="s">
        <v>1295</v>
      </c>
      <c r="N115" s="69"/>
    </row>
    <row r="116" spans="1:14" x14ac:dyDescent="0.2">
      <c r="A116" s="78">
        <v>489</v>
      </c>
      <c r="B116" s="68" t="s">
        <v>1296</v>
      </c>
      <c r="C116" s="1642"/>
      <c r="D116" s="66" t="s">
        <v>1070</v>
      </c>
      <c r="E116" s="42"/>
      <c r="F116" s="84" t="s">
        <v>879</v>
      </c>
      <c r="G116" s="1654"/>
      <c r="H116" s="1647"/>
      <c r="I116" s="1626"/>
      <c r="J116" s="1645"/>
      <c r="K116" s="1645"/>
      <c r="L116" s="66" t="s">
        <v>1106</v>
      </c>
      <c r="M116" s="68" t="s">
        <v>1297</v>
      </c>
      <c r="N116" s="69"/>
    </row>
    <row r="117" spans="1:14" x14ac:dyDescent="0.2">
      <c r="A117" s="78">
        <v>490</v>
      </c>
      <c r="B117" s="68" t="s">
        <v>1298</v>
      </c>
      <c r="C117" s="1642"/>
      <c r="D117" s="66" t="s">
        <v>1070</v>
      </c>
      <c r="E117" s="42"/>
      <c r="F117" s="84" t="s">
        <v>879</v>
      </c>
      <c r="G117" s="1654"/>
      <c r="H117" s="1647"/>
      <c r="I117" s="1626"/>
      <c r="J117" s="1645"/>
      <c r="K117" s="1645"/>
      <c r="L117" s="66" t="s">
        <v>1106</v>
      </c>
      <c r="M117" s="68" t="s">
        <v>1299</v>
      </c>
      <c r="N117" s="69"/>
    </row>
    <row r="118" spans="1:14" x14ac:dyDescent="0.2">
      <c r="A118" s="78">
        <v>491</v>
      </c>
      <c r="B118" s="68" t="s">
        <v>1300</v>
      </c>
      <c r="C118" s="1642"/>
      <c r="D118" s="66" t="s">
        <v>1070</v>
      </c>
      <c r="E118" s="42"/>
      <c r="F118" s="84" t="s">
        <v>879</v>
      </c>
      <c r="G118" s="1654"/>
      <c r="H118" s="1647"/>
      <c r="I118" s="1626"/>
      <c r="J118" s="1645"/>
      <c r="K118" s="1645"/>
      <c r="L118" s="66" t="s">
        <v>1106</v>
      </c>
      <c r="M118" s="68" t="s">
        <v>1301</v>
      </c>
      <c r="N118" s="69"/>
    </row>
    <row r="119" spans="1:14" x14ac:dyDescent="0.2">
      <c r="A119" s="78">
        <v>492</v>
      </c>
      <c r="B119" s="68" t="s">
        <v>1302</v>
      </c>
      <c r="C119" s="1642"/>
      <c r="D119" s="66" t="s">
        <v>1070</v>
      </c>
      <c r="E119" s="42"/>
      <c r="F119" s="84" t="s">
        <v>879</v>
      </c>
      <c r="G119" s="1654"/>
      <c r="H119" s="1647"/>
      <c r="I119" s="1626"/>
      <c r="J119" s="1645"/>
      <c r="K119" s="1645"/>
      <c r="L119" s="66" t="s">
        <v>1106</v>
      </c>
      <c r="M119" s="68" t="s">
        <v>1303</v>
      </c>
      <c r="N119" s="69"/>
    </row>
    <row r="120" spans="1:14" x14ac:dyDescent="0.2">
      <c r="A120" s="78">
        <v>493</v>
      </c>
      <c r="B120" s="68" t="s">
        <v>1304</v>
      </c>
      <c r="C120" s="1642"/>
      <c r="D120" s="66" t="s">
        <v>1070</v>
      </c>
      <c r="E120" s="42"/>
      <c r="F120" s="84" t="s">
        <v>879</v>
      </c>
      <c r="G120" s="1654"/>
      <c r="H120" s="1647"/>
      <c r="I120" s="1626"/>
      <c r="J120" s="1645"/>
      <c r="K120" s="1645"/>
      <c r="L120" s="66" t="s">
        <v>1106</v>
      </c>
      <c r="M120" s="68" t="s">
        <v>1305</v>
      </c>
      <c r="N120" s="69"/>
    </row>
    <row r="121" spans="1:14" x14ac:dyDescent="0.2">
      <c r="A121" s="78">
        <v>494</v>
      </c>
      <c r="B121" s="68" t="s">
        <v>1306</v>
      </c>
      <c r="C121" s="1642"/>
      <c r="D121" s="66" t="s">
        <v>1070</v>
      </c>
      <c r="E121" s="42"/>
      <c r="F121" s="84" t="s">
        <v>879</v>
      </c>
      <c r="G121" s="1654"/>
      <c r="H121" s="1647"/>
      <c r="I121" s="1626"/>
      <c r="J121" s="1645"/>
      <c r="K121" s="1645"/>
      <c r="L121" s="66" t="s">
        <v>1106</v>
      </c>
      <c r="M121" s="68" t="s">
        <v>1307</v>
      </c>
      <c r="N121" s="69"/>
    </row>
    <row r="122" spans="1:14" x14ac:dyDescent="0.2">
      <c r="A122" s="78">
        <v>495</v>
      </c>
      <c r="B122" s="68" t="s">
        <v>1308</v>
      </c>
      <c r="C122" s="1642"/>
      <c r="D122" s="66" t="s">
        <v>1070</v>
      </c>
      <c r="E122" s="42"/>
      <c r="F122" s="84" t="s">
        <v>879</v>
      </c>
      <c r="G122" s="1654"/>
      <c r="H122" s="1647"/>
      <c r="I122" s="1626"/>
      <c r="J122" s="1645"/>
      <c r="K122" s="1645"/>
      <c r="L122" s="66" t="s">
        <v>1106</v>
      </c>
      <c r="M122" s="68" t="s">
        <v>1309</v>
      </c>
      <c r="N122" s="69"/>
    </row>
    <row r="123" spans="1:14" x14ac:dyDescent="0.2">
      <c r="A123" s="78">
        <v>496</v>
      </c>
      <c r="B123" s="68" t="s">
        <v>1310</v>
      </c>
      <c r="C123" s="1642"/>
      <c r="D123" s="66" t="s">
        <v>1070</v>
      </c>
      <c r="E123" s="42"/>
      <c r="F123" s="84" t="s">
        <v>879</v>
      </c>
      <c r="G123" s="1654"/>
      <c r="H123" s="1647"/>
      <c r="I123" s="1626"/>
      <c r="J123" s="1645"/>
      <c r="K123" s="1645"/>
      <c r="L123" s="66" t="s">
        <v>1106</v>
      </c>
      <c r="M123" s="68" t="s">
        <v>1311</v>
      </c>
      <c r="N123" s="69"/>
    </row>
    <row r="124" spans="1:14" x14ac:dyDescent="0.2">
      <c r="A124" s="78">
        <v>497</v>
      </c>
      <c r="B124" s="68" t="s">
        <v>1312</v>
      </c>
      <c r="C124" s="1643"/>
      <c r="D124" s="66" t="s">
        <v>1070</v>
      </c>
      <c r="E124" s="42"/>
      <c r="F124" s="84" t="s">
        <v>879</v>
      </c>
      <c r="G124" s="1654"/>
      <c r="H124" s="1647"/>
      <c r="I124" s="1627"/>
      <c r="J124" s="1646"/>
      <c r="K124" s="1646"/>
      <c r="L124" s="66" t="s">
        <v>1106</v>
      </c>
      <c r="M124" s="68" t="s">
        <v>1313</v>
      </c>
      <c r="N124" s="69"/>
    </row>
    <row r="125" spans="1:14" x14ac:dyDescent="0.2">
      <c r="A125" s="78">
        <v>498</v>
      </c>
      <c r="B125" s="68" t="s">
        <v>1314</v>
      </c>
      <c r="C125" s="1641" t="s">
        <v>1102</v>
      </c>
      <c r="D125" s="66" t="s">
        <v>1074</v>
      </c>
      <c r="E125" s="38">
        <v>41206</v>
      </c>
      <c r="F125" s="84" t="s">
        <v>682</v>
      </c>
      <c r="G125" s="1654">
        <v>15</v>
      </c>
      <c r="H125" s="1647">
        <v>15</v>
      </c>
      <c r="I125" s="1625">
        <f>COUNTIF(F125:F139,"S")</f>
        <v>15</v>
      </c>
      <c r="J125" s="1644">
        <f>I125/G125</f>
        <v>1</v>
      </c>
      <c r="K125" s="1644">
        <f>IF(I125/H125&gt;1,1,I125/H125)</f>
        <v>1</v>
      </c>
      <c r="L125" s="66" t="s">
        <v>1106</v>
      </c>
      <c r="M125" s="68" t="s">
        <v>1315</v>
      </c>
      <c r="N125" s="69"/>
    </row>
    <row r="126" spans="1:14" x14ac:dyDescent="0.2">
      <c r="A126" s="78">
        <v>499</v>
      </c>
      <c r="B126" s="68" t="s">
        <v>1316</v>
      </c>
      <c r="C126" s="1642"/>
      <c r="D126" s="66" t="s">
        <v>1074</v>
      </c>
      <c r="E126" s="38">
        <v>41206</v>
      </c>
      <c r="F126" s="84" t="s">
        <v>682</v>
      </c>
      <c r="G126" s="1654"/>
      <c r="H126" s="1647"/>
      <c r="I126" s="1626"/>
      <c r="J126" s="1645"/>
      <c r="K126" s="1645"/>
      <c r="L126" s="66" t="s">
        <v>1106</v>
      </c>
      <c r="M126" s="68" t="s">
        <v>1317</v>
      </c>
      <c r="N126" s="69"/>
    </row>
    <row r="127" spans="1:14" x14ac:dyDescent="0.2">
      <c r="A127" s="78">
        <v>500</v>
      </c>
      <c r="B127" s="68" t="s">
        <v>1318</v>
      </c>
      <c r="C127" s="1642"/>
      <c r="D127" s="66" t="s">
        <v>1074</v>
      </c>
      <c r="E127" s="38">
        <v>41206</v>
      </c>
      <c r="F127" s="84" t="s">
        <v>682</v>
      </c>
      <c r="G127" s="1654"/>
      <c r="H127" s="1647"/>
      <c r="I127" s="1626"/>
      <c r="J127" s="1645"/>
      <c r="K127" s="1645"/>
      <c r="L127" s="66" t="s">
        <v>1106</v>
      </c>
      <c r="M127" s="68" t="s">
        <v>1319</v>
      </c>
      <c r="N127" s="69"/>
    </row>
    <row r="128" spans="1:14" x14ac:dyDescent="0.2">
      <c r="A128" s="78">
        <v>501</v>
      </c>
      <c r="B128" s="68" t="s">
        <v>1320</v>
      </c>
      <c r="C128" s="1642"/>
      <c r="D128" s="66" t="s">
        <v>1074</v>
      </c>
      <c r="E128" s="38">
        <v>41206</v>
      </c>
      <c r="F128" s="84" t="s">
        <v>682</v>
      </c>
      <c r="G128" s="1654"/>
      <c r="H128" s="1647"/>
      <c r="I128" s="1626"/>
      <c r="J128" s="1645"/>
      <c r="K128" s="1645"/>
      <c r="L128" s="66" t="s">
        <v>1106</v>
      </c>
      <c r="M128" s="68" t="s">
        <v>1321</v>
      </c>
      <c r="N128" s="69"/>
    </row>
    <row r="129" spans="1:14" x14ac:dyDescent="0.2">
      <c r="A129" s="78">
        <v>502</v>
      </c>
      <c r="B129" s="68" t="s">
        <v>1322</v>
      </c>
      <c r="C129" s="1642"/>
      <c r="D129" s="66" t="s">
        <v>1074</v>
      </c>
      <c r="E129" s="38">
        <v>41206</v>
      </c>
      <c r="F129" s="84" t="s">
        <v>682</v>
      </c>
      <c r="G129" s="1654"/>
      <c r="H129" s="1647"/>
      <c r="I129" s="1626"/>
      <c r="J129" s="1645"/>
      <c r="K129" s="1645"/>
      <c r="L129" s="66" t="s">
        <v>1106</v>
      </c>
      <c r="M129" s="68" t="s">
        <v>1323</v>
      </c>
      <c r="N129" s="69"/>
    </row>
    <row r="130" spans="1:14" x14ac:dyDescent="0.2">
      <c r="A130" s="78">
        <v>503</v>
      </c>
      <c r="B130" s="68" t="s">
        <v>1324</v>
      </c>
      <c r="C130" s="1642"/>
      <c r="D130" s="66" t="s">
        <v>1074</v>
      </c>
      <c r="E130" s="38">
        <v>41206</v>
      </c>
      <c r="F130" s="84" t="s">
        <v>682</v>
      </c>
      <c r="G130" s="1654"/>
      <c r="H130" s="1647"/>
      <c r="I130" s="1626"/>
      <c r="J130" s="1645"/>
      <c r="K130" s="1645"/>
      <c r="L130" s="66" t="s">
        <v>1106</v>
      </c>
      <c r="M130" s="68" t="s">
        <v>1325</v>
      </c>
      <c r="N130" s="69"/>
    </row>
    <row r="131" spans="1:14" x14ac:dyDescent="0.2">
      <c r="A131" s="78">
        <v>504</v>
      </c>
      <c r="B131" s="68" t="s">
        <v>1326</v>
      </c>
      <c r="C131" s="1642"/>
      <c r="D131" s="66" t="s">
        <v>1074</v>
      </c>
      <c r="E131" s="38">
        <v>41206</v>
      </c>
      <c r="F131" s="84" t="s">
        <v>682</v>
      </c>
      <c r="G131" s="1654"/>
      <c r="H131" s="1647"/>
      <c r="I131" s="1626"/>
      <c r="J131" s="1645"/>
      <c r="K131" s="1645"/>
      <c r="L131" s="66" t="s">
        <v>1106</v>
      </c>
      <c r="M131" s="68" t="s">
        <v>1327</v>
      </c>
      <c r="N131" s="69"/>
    </row>
    <row r="132" spans="1:14" x14ac:dyDescent="0.2">
      <c r="A132" s="78">
        <v>505</v>
      </c>
      <c r="B132" s="68" t="s">
        <v>1328</v>
      </c>
      <c r="C132" s="1642"/>
      <c r="D132" s="66" t="s">
        <v>1074</v>
      </c>
      <c r="E132" s="38">
        <v>41206</v>
      </c>
      <c r="F132" s="84" t="s">
        <v>682</v>
      </c>
      <c r="G132" s="1654"/>
      <c r="H132" s="1647"/>
      <c r="I132" s="1626"/>
      <c r="J132" s="1645"/>
      <c r="K132" s="1645"/>
      <c r="L132" s="66" t="s">
        <v>1106</v>
      </c>
      <c r="M132" s="68" t="s">
        <v>1329</v>
      </c>
      <c r="N132" s="69"/>
    </row>
    <row r="133" spans="1:14" x14ac:dyDescent="0.2">
      <c r="A133" s="78">
        <v>506</v>
      </c>
      <c r="B133" s="68" t="s">
        <v>1330</v>
      </c>
      <c r="C133" s="1642"/>
      <c r="D133" s="66" t="s">
        <v>1074</v>
      </c>
      <c r="E133" s="38">
        <v>41206</v>
      </c>
      <c r="F133" s="84" t="s">
        <v>682</v>
      </c>
      <c r="G133" s="1654"/>
      <c r="H133" s="1647"/>
      <c r="I133" s="1626"/>
      <c r="J133" s="1645"/>
      <c r="K133" s="1645"/>
      <c r="L133" s="66" t="s">
        <v>1106</v>
      </c>
      <c r="M133" s="68" t="s">
        <v>1331</v>
      </c>
      <c r="N133" s="69"/>
    </row>
    <row r="134" spans="1:14" x14ac:dyDescent="0.2">
      <c r="A134" s="78">
        <v>507</v>
      </c>
      <c r="B134" s="68" t="s">
        <v>1332</v>
      </c>
      <c r="C134" s="1642"/>
      <c r="D134" s="66" t="s">
        <v>1074</v>
      </c>
      <c r="E134" s="38">
        <v>41206</v>
      </c>
      <c r="F134" s="84" t="s">
        <v>682</v>
      </c>
      <c r="G134" s="1654"/>
      <c r="H134" s="1647"/>
      <c r="I134" s="1626"/>
      <c r="J134" s="1645"/>
      <c r="K134" s="1645"/>
      <c r="L134" s="66" t="s">
        <v>1106</v>
      </c>
      <c r="M134" s="68" t="s">
        <v>1333</v>
      </c>
      <c r="N134" s="69"/>
    </row>
    <row r="135" spans="1:14" x14ac:dyDescent="0.2">
      <c r="A135" s="78">
        <v>508</v>
      </c>
      <c r="B135" s="68" t="s">
        <v>1334</v>
      </c>
      <c r="C135" s="1642"/>
      <c r="D135" s="66" t="s">
        <v>1074</v>
      </c>
      <c r="E135" s="38">
        <v>41206</v>
      </c>
      <c r="F135" s="84" t="s">
        <v>682</v>
      </c>
      <c r="G135" s="1654"/>
      <c r="H135" s="1647"/>
      <c r="I135" s="1626"/>
      <c r="J135" s="1645"/>
      <c r="K135" s="1645"/>
      <c r="L135" s="66" t="s">
        <v>1106</v>
      </c>
      <c r="M135" s="68" t="s">
        <v>1335</v>
      </c>
      <c r="N135" s="69"/>
    </row>
    <row r="136" spans="1:14" x14ac:dyDescent="0.2">
      <c r="A136" s="78">
        <v>509</v>
      </c>
      <c r="B136" s="68" t="s">
        <v>1336</v>
      </c>
      <c r="C136" s="1642"/>
      <c r="D136" s="66" t="s">
        <v>1074</v>
      </c>
      <c r="E136" s="38">
        <v>41206</v>
      </c>
      <c r="F136" s="84" t="s">
        <v>682</v>
      </c>
      <c r="G136" s="1654"/>
      <c r="H136" s="1647"/>
      <c r="I136" s="1626"/>
      <c r="J136" s="1645"/>
      <c r="K136" s="1645"/>
      <c r="L136" s="66" t="s">
        <v>1106</v>
      </c>
      <c r="M136" s="68" t="s">
        <v>1337</v>
      </c>
      <c r="N136" s="69"/>
    </row>
    <row r="137" spans="1:14" x14ac:dyDescent="0.2">
      <c r="A137" s="78">
        <v>510</v>
      </c>
      <c r="B137" s="68" t="s">
        <v>1338</v>
      </c>
      <c r="C137" s="1642"/>
      <c r="D137" s="66" t="s">
        <v>1074</v>
      </c>
      <c r="E137" s="38">
        <v>41206</v>
      </c>
      <c r="F137" s="84" t="s">
        <v>682</v>
      </c>
      <c r="G137" s="1654"/>
      <c r="H137" s="1647"/>
      <c r="I137" s="1626"/>
      <c r="J137" s="1645"/>
      <c r="K137" s="1645"/>
      <c r="L137" s="66" t="s">
        <v>1106</v>
      </c>
      <c r="M137" s="68" t="s">
        <v>1339</v>
      </c>
      <c r="N137" s="69"/>
    </row>
    <row r="138" spans="1:14" x14ac:dyDescent="0.2">
      <c r="A138" s="78">
        <v>511</v>
      </c>
      <c r="B138" s="68" t="s">
        <v>1340</v>
      </c>
      <c r="C138" s="1642"/>
      <c r="D138" s="66" t="s">
        <v>1074</v>
      </c>
      <c r="E138" s="38">
        <v>41206</v>
      </c>
      <c r="F138" s="84" t="s">
        <v>682</v>
      </c>
      <c r="G138" s="1654"/>
      <c r="H138" s="1647"/>
      <c r="I138" s="1626"/>
      <c r="J138" s="1645"/>
      <c r="K138" s="1645"/>
      <c r="L138" s="66" t="s">
        <v>1106</v>
      </c>
      <c r="M138" s="68" t="s">
        <v>1341</v>
      </c>
      <c r="N138" s="69"/>
    </row>
    <row r="139" spans="1:14" x14ac:dyDescent="0.2">
      <c r="A139" s="78">
        <v>512</v>
      </c>
      <c r="B139" s="68" t="s">
        <v>1342</v>
      </c>
      <c r="C139" s="1643"/>
      <c r="D139" s="66" t="s">
        <v>1074</v>
      </c>
      <c r="E139" s="38">
        <v>41206</v>
      </c>
      <c r="F139" s="84" t="s">
        <v>682</v>
      </c>
      <c r="G139" s="1654"/>
      <c r="H139" s="1647"/>
      <c r="I139" s="1627"/>
      <c r="J139" s="1646"/>
      <c r="K139" s="1646"/>
      <c r="L139" s="66" t="s">
        <v>1106</v>
      </c>
      <c r="M139" s="68" t="s">
        <v>1343</v>
      </c>
      <c r="N139" s="69"/>
    </row>
    <row r="140" spans="1:14" x14ac:dyDescent="0.2">
      <c r="A140" s="78">
        <v>513</v>
      </c>
      <c r="B140" s="68" t="s">
        <v>1344</v>
      </c>
      <c r="C140" s="1641" t="s">
        <v>1102</v>
      </c>
      <c r="D140" s="66" t="s">
        <v>1076</v>
      </c>
      <c r="E140" s="146">
        <v>41109</v>
      </c>
      <c r="F140" s="84" t="s">
        <v>879</v>
      </c>
      <c r="G140" s="1654">
        <v>15</v>
      </c>
      <c r="H140" s="1647">
        <v>15</v>
      </c>
      <c r="I140" s="1625">
        <f>COUNTIF(F140:F154,"S")</f>
        <v>0</v>
      </c>
      <c r="J140" s="1644">
        <f>I140/G140</f>
        <v>0</v>
      </c>
      <c r="K140" s="1644">
        <f>IF(I140/H140&gt;1,1,I140/H140)</f>
        <v>0</v>
      </c>
      <c r="L140" s="66" t="s">
        <v>1106</v>
      </c>
      <c r="M140" s="68" t="s">
        <v>1345</v>
      </c>
      <c r="N140" s="69"/>
    </row>
    <row r="141" spans="1:14" x14ac:dyDescent="0.2">
      <c r="A141" s="78">
        <v>514</v>
      </c>
      <c r="B141" s="68" t="s">
        <v>1346</v>
      </c>
      <c r="C141" s="1642"/>
      <c r="D141" s="66" t="s">
        <v>1076</v>
      </c>
      <c r="E141" s="146">
        <v>41109</v>
      </c>
      <c r="F141" s="84" t="s">
        <v>879</v>
      </c>
      <c r="G141" s="1654"/>
      <c r="H141" s="1647"/>
      <c r="I141" s="1626"/>
      <c r="J141" s="1645"/>
      <c r="K141" s="1645"/>
      <c r="L141" s="66" t="s">
        <v>1106</v>
      </c>
      <c r="M141" s="68" t="s">
        <v>1347</v>
      </c>
      <c r="N141" s="69"/>
    </row>
    <row r="142" spans="1:14" x14ac:dyDescent="0.2">
      <c r="A142" s="78">
        <v>515</v>
      </c>
      <c r="B142" s="68" t="s">
        <v>1348</v>
      </c>
      <c r="C142" s="1642"/>
      <c r="D142" s="66" t="s">
        <v>1076</v>
      </c>
      <c r="E142" s="146">
        <v>41109</v>
      </c>
      <c r="F142" s="84" t="s">
        <v>879</v>
      </c>
      <c r="G142" s="1654"/>
      <c r="H142" s="1647"/>
      <c r="I142" s="1626"/>
      <c r="J142" s="1645"/>
      <c r="K142" s="1645"/>
      <c r="L142" s="66" t="s">
        <v>1106</v>
      </c>
      <c r="M142" s="68" t="s">
        <v>1349</v>
      </c>
      <c r="N142" s="69"/>
    </row>
    <row r="143" spans="1:14" x14ac:dyDescent="0.2">
      <c r="A143" s="78">
        <v>516</v>
      </c>
      <c r="B143" s="68" t="s">
        <v>1350</v>
      </c>
      <c r="C143" s="1642"/>
      <c r="D143" s="66" t="s">
        <v>1076</v>
      </c>
      <c r="E143" s="146">
        <v>41109</v>
      </c>
      <c r="F143" s="84" t="s">
        <v>879</v>
      </c>
      <c r="G143" s="1654"/>
      <c r="H143" s="1647"/>
      <c r="I143" s="1626"/>
      <c r="J143" s="1645"/>
      <c r="K143" s="1645"/>
      <c r="L143" s="66" t="s">
        <v>1106</v>
      </c>
      <c r="M143" s="68" t="s">
        <v>1351</v>
      </c>
      <c r="N143" s="69"/>
    </row>
    <row r="144" spans="1:14" x14ac:dyDescent="0.2">
      <c r="A144" s="78">
        <v>517</v>
      </c>
      <c r="B144" s="68" t="s">
        <v>1352</v>
      </c>
      <c r="C144" s="1642"/>
      <c r="D144" s="66" t="s">
        <v>1076</v>
      </c>
      <c r="E144" s="146">
        <v>41109</v>
      </c>
      <c r="F144" s="84" t="s">
        <v>879</v>
      </c>
      <c r="G144" s="1654"/>
      <c r="H144" s="1647"/>
      <c r="I144" s="1626"/>
      <c r="J144" s="1645"/>
      <c r="K144" s="1645"/>
      <c r="L144" s="66" t="s">
        <v>1106</v>
      </c>
      <c r="M144" s="68" t="s">
        <v>1353</v>
      </c>
      <c r="N144" s="69"/>
    </row>
    <row r="145" spans="1:14" x14ac:dyDescent="0.2">
      <c r="A145" s="78">
        <v>518</v>
      </c>
      <c r="B145" s="68" t="s">
        <v>1354</v>
      </c>
      <c r="C145" s="1642"/>
      <c r="D145" s="66" t="s">
        <v>1076</v>
      </c>
      <c r="E145" s="146">
        <v>41109</v>
      </c>
      <c r="F145" s="84" t="s">
        <v>879</v>
      </c>
      <c r="G145" s="1654"/>
      <c r="H145" s="1647"/>
      <c r="I145" s="1626"/>
      <c r="J145" s="1645"/>
      <c r="K145" s="1645"/>
      <c r="L145" s="66" t="s">
        <v>1106</v>
      </c>
      <c r="M145" s="68" t="s">
        <v>1355</v>
      </c>
      <c r="N145" s="69"/>
    </row>
    <row r="146" spans="1:14" x14ac:dyDescent="0.2">
      <c r="A146" s="78">
        <v>519</v>
      </c>
      <c r="B146" s="68" t="s">
        <v>1356</v>
      </c>
      <c r="C146" s="1642"/>
      <c r="D146" s="66" t="s">
        <v>1076</v>
      </c>
      <c r="E146" s="146">
        <v>41109</v>
      </c>
      <c r="F146" s="84" t="s">
        <v>879</v>
      </c>
      <c r="G146" s="1654"/>
      <c r="H146" s="1647"/>
      <c r="I146" s="1626"/>
      <c r="J146" s="1645"/>
      <c r="K146" s="1645"/>
      <c r="L146" s="66" t="s">
        <v>1106</v>
      </c>
      <c r="M146" s="68" t="s">
        <v>1357</v>
      </c>
      <c r="N146" s="69"/>
    </row>
    <row r="147" spans="1:14" x14ac:dyDescent="0.2">
      <c r="A147" s="78">
        <v>520</v>
      </c>
      <c r="B147" s="68" t="s">
        <v>1358</v>
      </c>
      <c r="C147" s="1642"/>
      <c r="D147" s="66" t="s">
        <v>1076</v>
      </c>
      <c r="E147" s="146">
        <v>41109</v>
      </c>
      <c r="F147" s="84" t="s">
        <v>879</v>
      </c>
      <c r="G147" s="1654"/>
      <c r="H147" s="1647"/>
      <c r="I147" s="1626"/>
      <c r="J147" s="1645"/>
      <c r="K147" s="1645"/>
      <c r="L147" s="66" t="s">
        <v>1106</v>
      </c>
      <c r="M147" s="68" t="s">
        <v>1359</v>
      </c>
      <c r="N147" s="69"/>
    </row>
    <row r="148" spans="1:14" x14ac:dyDescent="0.2">
      <c r="A148" s="78">
        <v>521</v>
      </c>
      <c r="B148" s="68" t="s">
        <v>1360</v>
      </c>
      <c r="C148" s="1642"/>
      <c r="D148" s="66" t="s">
        <v>1076</v>
      </c>
      <c r="E148" s="146">
        <v>41109</v>
      </c>
      <c r="F148" s="84" t="s">
        <v>879</v>
      </c>
      <c r="G148" s="1654"/>
      <c r="H148" s="1647"/>
      <c r="I148" s="1626"/>
      <c r="J148" s="1645"/>
      <c r="K148" s="1645"/>
      <c r="L148" s="66" t="s">
        <v>1106</v>
      </c>
      <c r="M148" s="68" t="s">
        <v>1361</v>
      </c>
      <c r="N148" s="69"/>
    </row>
    <row r="149" spans="1:14" x14ac:dyDescent="0.2">
      <c r="A149" s="78">
        <v>522</v>
      </c>
      <c r="B149" s="68" t="s">
        <v>1362</v>
      </c>
      <c r="C149" s="1642"/>
      <c r="D149" s="66" t="s">
        <v>1076</v>
      </c>
      <c r="E149" s="146">
        <v>41109</v>
      </c>
      <c r="F149" s="84" t="s">
        <v>879</v>
      </c>
      <c r="G149" s="1654"/>
      <c r="H149" s="1647"/>
      <c r="I149" s="1626"/>
      <c r="J149" s="1645"/>
      <c r="K149" s="1645"/>
      <c r="L149" s="66" t="s">
        <v>1106</v>
      </c>
      <c r="M149" s="68" t="s">
        <v>1363</v>
      </c>
      <c r="N149" s="69"/>
    </row>
    <row r="150" spans="1:14" x14ac:dyDescent="0.2">
      <c r="A150" s="78">
        <v>523</v>
      </c>
      <c r="B150" s="68" t="s">
        <v>1364</v>
      </c>
      <c r="C150" s="1642"/>
      <c r="D150" s="66" t="s">
        <v>1076</v>
      </c>
      <c r="E150" s="146">
        <v>41109</v>
      </c>
      <c r="F150" s="84" t="s">
        <v>879</v>
      </c>
      <c r="G150" s="1654"/>
      <c r="H150" s="1647"/>
      <c r="I150" s="1626"/>
      <c r="J150" s="1645"/>
      <c r="K150" s="1645"/>
      <c r="L150" s="66" t="s">
        <v>1106</v>
      </c>
      <c r="M150" s="68" t="s">
        <v>1365</v>
      </c>
      <c r="N150" s="69"/>
    </row>
    <row r="151" spans="1:14" x14ac:dyDescent="0.2">
      <c r="A151" s="78">
        <v>524</v>
      </c>
      <c r="B151" s="68" t="s">
        <v>1366</v>
      </c>
      <c r="C151" s="1642"/>
      <c r="D151" s="66" t="s">
        <v>1076</v>
      </c>
      <c r="E151" s="146">
        <v>41109</v>
      </c>
      <c r="F151" s="84" t="s">
        <v>879</v>
      </c>
      <c r="G151" s="1654"/>
      <c r="H151" s="1647"/>
      <c r="I151" s="1626"/>
      <c r="J151" s="1645"/>
      <c r="K151" s="1645"/>
      <c r="L151" s="66" t="s">
        <v>1106</v>
      </c>
      <c r="M151" s="68" t="s">
        <v>1367</v>
      </c>
      <c r="N151" s="69"/>
    </row>
    <row r="152" spans="1:14" x14ac:dyDescent="0.2">
      <c r="A152" s="78">
        <v>525</v>
      </c>
      <c r="B152" s="68" t="s">
        <v>1368</v>
      </c>
      <c r="C152" s="1642"/>
      <c r="D152" s="66" t="s">
        <v>1076</v>
      </c>
      <c r="E152" s="146">
        <v>41109</v>
      </c>
      <c r="F152" s="84" t="s">
        <v>879</v>
      </c>
      <c r="G152" s="1654"/>
      <c r="H152" s="1647"/>
      <c r="I152" s="1626"/>
      <c r="J152" s="1645"/>
      <c r="K152" s="1645"/>
      <c r="L152" s="66" t="s">
        <v>1106</v>
      </c>
      <c r="M152" s="68" t="s">
        <v>1369</v>
      </c>
      <c r="N152" s="69"/>
    </row>
    <row r="153" spans="1:14" x14ac:dyDescent="0.2">
      <c r="A153" s="78">
        <v>526</v>
      </c>
      <c r="B153" s="68" t="s">
        <v>1370</v>
      </c>
      <c r="C153" s="1642"/>
      <c r="D153" s="66" t="s">
        <v>1076</v>
      </c>
      <c r="E153" s="146">
        <v>41109</v>
      </c>
      <c r="F153" s="84" t="s">
        <v>879</v>
      </c>
      <c r="G153" s="1654"/>
      <c r="H153" s="1647"/>
      <c r="I153" s="1626"/>
      <c r="J153" s="1645"/>
      <c r="K153" s="1645"/>
      <c r="L153" s="66" t="s">
        <v>1106</v>
      </c>
      <c r="M153" s="68" t="s">
        <v>1371</v>
      </c>
      <c r="N153" s="69"/>
    </row>
    <row r="154" spans="1:14" x14ac:dyDescent="0.2">
      <c r="A154" s="78">
        <v>527</v>
      </c>
      <c r="B154" s="68" t="s">
        <v>1372</v>
      </c>
      <c r="C154" s="1643"/>
      <c r="D154" s="66" t="s">
        <v>1076</v>
      </c>
      <c r="E154" s="146">
        <v>41109</v>
      </c>
      <c r="F154" s="84" t="s">
        <v>879</v>
      </c>
      <c r="G154" s="1654"/>
      <c r="H154" s="1647"/>
      <c r="I154" s="1627"/>
      <c r="J154" s="1646"/>
      <c r="K154" s="1646"/>
      <c r="L154" s="66" t="s">
        <v>1106</v>
      </c>
      <c r="M154" s="68" t="s">
        <v>1373</v>
      </c>
      <c r="N154" s="69"/>
    </row>
    <row r="155" spans="1:14" x14ac:dyDescent="0.2">
      <c r="A155" s="78">
        <v>528</v>
      </c>
      <c r="B155" s="68" t="s">
        <v>1374</v>
      </c>
      <c r="C155" s="1641" t="s">
        <v>1102</v>
      </c>
      <c r="D155" s="66" t="s">
        <v>1079</v>
      </c>
      <c r="E155" s="38">
        <v>40801</v>
      </c>
      <c r="F155" s="84" t="s">
        <v>682</v>
      </c>
      <c r="G155" s="1654">
        <v>10</v>
      </c>
      <c r="H155" s="1647">
        <v>10</v>
      </c>
      <c r="I155" s="1625">
        <f>COUNTIF(F155:F164,"S")</f>
        <v>10</v>
      </c>
      <c r="J155" s="1644">
        <f>I155/G155</f>
        <v>1</v>
      </c>
      <c r="K155" s="1644">
        <f>IF(I155/H155&gt;1,1,I155/H155)</f>
        <v>1</v>
      </c>
      <c r="L155" s="66" t="s">
        <v>1106</v>
      </c>
      <c r="M155" s="68" t="s">
        <v>1375</v>
      </c>
      <c r="N155" s="69"/>
    </row>
    <row r="156" spans="1:14" x14ac:dyDescent="0.2">
      <c r="A156" s="78">
        <v>529</v>
      </c>
      <c r="B156" s="68" t="s">
        <v>1376</v>
      </c>
      <c r="C156" s="1642"/>
      <c r="D156" s="66" t="s">
        <v>1079</v>
      </c>
      <c r="E156" s="38">
        <v>40801</v>
      </c>
      <c r="F156" s="84" t="s">
        <v>682</v>
      </c>
      <c r="G156" s="1654"/>
      <c r="H156" s="1647"/>
      <c r="I156" s="1626"/>
      <c r="J156" s="1645"/>
      <c r="K156" s="1645"/>
      <c r="L156" s="66" t="s">
        <v>1106</v>
      </c>
      <c r="M156" s="68" t="s">
        <v>1377</v>
      </c>
      <c r="N156" s="69"/>
    </row>
    <row r="157" spans="1:14" x14ac:dyDescent="0.2">
      <c r="A157" s="78">
        <v>530</v>
      </c>
      <c r="B157" s="68" t="s">
        <v>1378</v>
      </c>
      <c r="C157" s="1642"/>
      <c r="D157" s="66" t="s">
        <v>1079</v>
      </c>
      <c r="E157" s="38">
        <v>40801</v>
      </c>
      <c r="F157" s="84" t="s">
        <v>682</v>
      </c>
      <c r="G157" s="1654"/>
      <c r="H157" s="1647"/>
      <c r="I157" s="1626"/>
      <c r="J157" s="1645"/>
      <c r="K157" s="1645"/>
      <c r="L157" s="66" t="s">
        <v>1106</v>
      </c>
      <c r="M157" s="68" t="s">
        <v>1379</v>
      </c>
      <c r="N157" s="69"/>
    </row>
    <row r="158" spans="1:14" x14ac:dyDescent="0.2">
      <c r="A158" s="78">
        <v>531</v>
      </c>
      <c r="B158" s="68" t="s">
        <v>1380</v>
      </c>
      <c r="C158" s="1642"/>
      <c r="D158" s="66" t="s">
        <v>1079</v>
      </c>
      <c r="E158" s="38">
        <v>40801</v>
      </c>
      <c r="F158" s="84" t="s">
        <v>682</v>
      </c>
      <c r="G158" s="1654"/>
      <c r="H158" s="1647"/>
      <c r="I158" s="1626"/>
      <c r="J158" s="1645"/>
      <c r="K158" s="1645"/>
      <c r="L158" s="66" t="s">
        <v>1106</v>
      </c>
      <c r="M158" s="68" t="s">
        <v>1381</v>
      </c>
      <c r="N158" s="69"/>
    </row>
    <row r="159" spans="1:14" x14ac:dyDescent="0.2">
      <c r="A159" s="78">
        <v>532</v>
      </c>
      <c r="B159" s="68" t="s">
        <v>1382</v>
      </c>
      <c r="C159" s="1642"/>
      <c r="D159" s="66" t="s">
        <v>1079</v>
      </c>
      <c r="E159" s="38">
        <v>40801</v>
      </c>
      <c r="F159" s="84" t="s">
        <v>682</v>
      </c>
      <c r="G159" s="1654"/>
      <c r="H159" s="1647"/>
      <c r="I159" s="1626"/>
      <c r="J159" s="1645"/>
      <c r="K159" s="1645"/>
      <c r="L159" s="66" t="s">
        <v>1106</v>
      </c>
      <c r="M159" s="68" t="s">
        <v>1383</v>
      </c>
      <c r="N159" s="69"/>
    </row>
    <row r="160" spans="1:14" x14ac:dyDescent="0.2">
      <c r="A160" s="78">
        <v>533</v>
      </c>
      <c r="B160" s="68" t="s">
        <v>1384</v>
      </c>
      <c r="C160" s="1642"/>
      <c r="D160" s="66" t="s">
        <v>1079</v>
      </c>
      <c r="E160" s="38">
        <v>40801</v>
      </c>
      <c r="F160" s="84" t="s">
        <v>682</v>
      </c>
      <c r="G160" s="1654"/>
      <c r="H160" s="1647"/>
      <c r="I160" s="1626"/>
      <c r="J160" s="1645"/>
      <c r="K160" s="1645"/>
      <c r="L160" s="66" t="s">
        <v>1106</v>
      </c>
      <c r="M160" s="68" t="s">
        <v>1385</v>
      </c>
      <c r="N160" s="69"/>
    </row>
    <row r="161" spans="1:14" x14ac:dyDescent="0.2">
      <c r="A161" s="78">
        <v>534</v>
      </c>
      <c r="B161" s="68" t="s">
        <v>1386</v>
      </c>
      <c r="C161" s="1642"/>
      <c r="D161" s="66" t="s">
        <v>1079</v>
      </c>
      <c r="E161" s="38">
        <v>40801</v>
      </c>
      <c r="F161" s="84" t="s">
        <v>682</v>
      </c>
      <c r="G161" s="1654"/>
      <c r="H161" s="1647"/>
      <c r="I161" s="1626"/>
      <c r="J161" s="1645"/>
      <c r="K161" s="1645"/>
      <c r="L161" s="66" t="s">
        <v>1106</v>
      </c>
      <c r="M161" s="68" t="s">
        <v>1387</v>
      </c>
      <c r="N161" s="69"/>
    </row>
    <row r="162" spans="1:14" x14ac:dyDescent="0.2">
      <c r="A162" s="78">
        <v>535</v>
      </c>
      <c r="B162" s="68" t="s">
        <v>1388</v>
      </c>
      <c r="C162" s="1642"/>
      <c r="D162" s="66" t="s">
        <v>1079</v>
      </c>
      <c r="E162" s="38">
        <v>40801</v>
      </c>
      <c r="F162" s="84" t="s">
        <v>682</v>
      </c>
      <c r="G162" s="1654"/>
      <c r="H162" s="1647"/>
      <c r="I162" s="1626"/>
      <c r="J162" s="1645"/>
      <c r="K162" s="1645"/>
      <c r="L162" s="66" t="s">
        <v>1106</v>
      </c>
      <c r="M162" s="68" t="s">
        <v>1389</v>
      </c>
      <c r="N162" s="69"/>
    </row>
    <row r="163" spans="1:14" x14ac:dyDescent="0.2">
      <c r="A163" s="78">
        <v>536</v>
      </c>
      <c r="B163" s="68" t="s">
        <v>1390</v>
      </c>
      <c r="C163" s="1642"/>
      <c r="D163" s="66" t="s">
        <v>1079</v>
      </c>
      <c r="E163" s="38">
        <v>40801</v>
      </c>
      <c r="F163" s="84" t="s">
        <v>682</v>
      </c>
      <c r="G163" s="1654"/>
      <c r="H163" s="1647"/>
      <c r="I163" s="1626"/>
      <c r="J163" s="1645"/>
      <c r="K163" s="1645"/>
      <c r="L163" s="66" t="s">
        <v>1106</v>
      </c>
      <c r="M163" s="68" t="s">
        <v>1391</v>
      </c>
      <c r="N163" s="69"/>
    </row>
    <row r="164" spans="1:14" x14ac:dyDescent="0.2">
      <c r="A164" s="78">
        <v>537</v>
      </c>
      <c r="B164" s="68" t="s">
        <v>1392</v>
      </c>
      <c r="C164" s="1643"/>
      <c r="D164" s="66" t="s">
        <v>1079</v>
      </c>
      <c r="E164" s="38">
        <v>40801</v>
      </c>
      <c r="F164" s="84" t="s">
        <v>682</v>
      </c>
      <c r="G164" s="1654"/>
      <c r="H164" s="1647"/>
      <c r="I164" s="1627"/>
      <c r="J164" s="1646"/>
      <c r="K164" s="1646"/>
      <c r="L164" s="66" t="s">
        <v>1106</v>
      </c>
      <c r="M164" s="68" t="s">
        <v>1393</v>
      </c>
      <c r="N164" s="69"/>
    </row>
    <row r="165" spans="1:14" x14ac:dyDescent="0.2">
      <c r="A165" s="78">
        <v>538</v>
      </c>
      <c r="B165" s="68" t="s">
        <v>1394</v>
      </c>
      <c r="C165" s="1641" t="s">
        <v>1102</v>
      </c>
      <c r="D165" s="66" t="s">
        <v>1081</v>
      </c>
      <c r="E165" s="38">
        <v>40801</v>
      </c>
      <c r="F165" s="84" t="s">
        <v>682</v>
      </c>
      <c r="G165" s="1654">
        <v>10</v>
      </c>
      <c r="H165" s="1647">
        <v>10</v>
      </c>
      <c r="I165" s="1625">
        <f>COUNTIF(F165:F174,"S")</f>
        <v>10</v>
      </c>
      <c r="J165" s="1644">
        <f>I165/G165</f>
        <v>1</v>
      </c>
      <c r="K165" s="1644">
        <f>IF(I165/H165&gt;1,1,I165/H165)</f>
        <v>1</v>
      </c>
      <c r="L165" s="66" t="s">
        <v>1106</v>
      </c>
      <c r="M165" s="68" t="s">
        <v>1395</v>
      </c>
      <c r="N165" s="69"/>
    </row>
    <row r="166" spans="1:14" x14ac:dyDescent="0.2">
      <c r="A166" s="78">
        <v>539</v>
      </c>
      <c r="B166" s="68" t="s">
        <v>1396</v>
      </c>
      <c r="C166" s="1642"/>
      <c r="D166" s="66" t="s">
        <v>1081</v>
      </c>
      <c r="E166" s="38">
        <v>40801</v>
      </c>
      <c r="F166" s="84" t="s">
        <v>682</v>
      </c>
      <c r="G166" s="1654"/>
      <c r="H166" s="1647"/>
      <c r="I166" s="1626"/>
      <c r="J166" s="1645"/>
      <c r="K166" s="1645"/>
      <c r="L166" s="66" t="s">
        <v>1106</v>
      </c>
      <c r="M166" s="68" t="s">
        <v>1397</v>
      </c>
      <c r="N166" s="69"/>
    </row>
    <row r="167" spans="1:14" x14ac:dyDescent="0.2">
      <c r="A167" s="78">
        <v>540</v>
      </c>
      <c r="B167" s="68" t="s">
        <v>1398</v>
      </c>
      <c r="C167" s="1642"/>
      <c r="D167" s="66" t="s">
        <v>1081</v>
      </c>
      <c r="E167" s="38">
        <v>40801</v>
      </c>
      <c r="F167" s="84" t="s">
        <v>682</v>
      </c>
      <c r="G167" s="1654"/>
      <c r="H167" s="1647"/>
      <c r="I167" s="1626"/>
      <c r="J167" s="1645"/>
      <c r="K167" s="1645"/>
      <c r="L167" s="66" t="s">
        <v>1106</v>
      </c>
      <c r="M167" s="68" t="s">
        <v>1399</v>
      </c>
      <c r="N167" s="69"/>
    </row>
    <row r="168" spans="1:14" x14ac:dyDescent="0.2">
      <c r="A168" s="78">
        <v>541</v>
      </c>
      <c r="B168" s="68" t="s">
        <v>1400</v>
      </c>
      <c r="C168" s="1642"/>
      <c r="D168" s="66" t="s">
        <v>1081</v>
      </c>
      <c r="E168" s="38">
        <v>40801</v>
      </c>
      <c r="F168" s="84" t="s">
        <v>682</v>
      </c>
      <c r="G168" s="1654"/>
      <c r="H168" s="1647"/>
      <c r="I168" s="1626"/>
      <c r="J168" s="1645"/>
      <c r="K168" s="1645"/>
      <c r="L168" s="66" t="s">
        <v>1106</v>
      </c>
      <c r="M168" s="68" t="s">
        <v>1401</v>
      </c>
      <c r="N168" s="69"/>
    </row>
    <row r="169" spans="1:14" x14ac:dyDescent="0.2">
      <c r="A169" s="78">
        <v>542</v>
      </c>
      <c r="B169" s="68" t="s">
        <v>1402</v>
      </c>
      <c r="C169" s="1642"/>
      <c r="D169" s="66" t="s">
        <v>1081</v>
      </c>
      <c r="E169" s="38">
        <v>40801</v>
      </c>
      <c r="F169" s="84" t="s">
        <v>682</v>
      </c>
      <c r="G169" s="1654"/>
      <c r="H169" s="1647"/>
      <c r="I169" s="1626"/>
      <c r="J169" s="1645"/>
      <c r="K169" s="1645"/>
      <c r="L169" s="66" t="s">
        <v>1106</v>
      </c>
      <c r="M169" s="68" t="s">
        <v>1403</v>
      </c>
      <c r="N169" s="69"/>
    </row>
    <row r="170" spans="1:14" x14ac:dyDescent="0.2">
      <c r="A170" s="78">
        <v>543</v>
      </c>
      <c r="B170" s="68" t="s">
        <v>1404</v>
      </c>
      <c r="C170" s="1642"/>
      <c r="D170" s="66" t="s">
        <v>1081</v>
      </c>
      <c r="E170" s="38">
        <v>40801</v>
      </c>
      <c r="F170" s="84" t="s">
        <v>682</v>
      </c>
      <c r="G170" s="1654"/>
      <c r="H170" s="1647"/>
      <c r="I170" s="1626"/>
      <c r="J170" s="1645"/>
      <c r="K170" s="1645"/>
      <c r="L170" s="66" t="s">
        <v>1106</v>
      </c>
      <c r="M170" s="68" t="s">
        <v>1405</v>
      </c>
      <c r="N170" s="69"/>
    </row>
    <row r="171" spans="1:14" x14ac:dyDescent="0.2">
      <c r="A171" s="78">
        <v>544</v>
      </c>
      <c r="B171" s="68" t="s">
        <v>1406</v>
      </c>
      <c r="C171" s="1642"/>
      <c r="D171" s="66" t="s">
        <v>1081</v>
      </c>
      <c r="E171" s="38">
        <v>40801</v>
      </c>
      <c r="F171" s="84" t="s">
        <v>682</v>
      </c>
      <c r="G171" s="1654"/>
      <c r="H171" s="1647"/>
      <c r="I171" s="1626"/>
      <c r="J171" s="1645"/>
      <c r="K171" s="1645"/>
      <c r="L171" s="66" t="s">
        <v>1106</v>
      </c>
      <c r="M171" s="68" t="s">
        <v>1407</v>
      </c>
      <c r="N171" s="69"/>
    </row>
    <row r="172" spans="1:14" x14ac:dyDescent="0.2">
      <c r="A172" s="78">
        <v>545</v>
      </c>
      <c r="B172" s="68" t="s">
        <v>1408</v>
      </c>
      <c r="C172" s="1642"/>
      <c r="D172" s="66" t="s">
        <v>1081</v>
      </c>
      <c r="E172" s="38">
        <v>40801</v>
      </c>
      <c r="F172" s="84" t="s">
        <v>682</v>
      </c>
      <c r="G172" s="1654"/>
      <c r="H172" s="1647"/>
      <c r="I172" s="1626"/>
      <c r="J172" s="1645"/>
      <c r="K172" s="1645"/>
      <c r="L172" s="66" t="s">
        <v>1106</v>
      </c>
      <c r="M172" s="68" t="s">
        <v>1409</v>
      </c>
      <c r="N172" s="69"/>
    </row>
    <row r="173" spans="1:14" x14ac:dyDescent="0.2">
      <c r="A173" s="78">
        <v>546</v>
      </c>
      <c r="B173" s="68" t="s">
        <v>1410</v>
      </c>
      <c r="C173" s="1642"/>
      <c r="D173" s="66" t="s">
        <v>1081</v>
      </c>
      <c r="E173" s="38">
        <v>40801</v>
      </c>
      <c r="F173" s="84" t="s">
        <v>682</v>
      </c>
      <c r="G173" s="1654"/>
      <c r="H173" s="1647"/>
      <c r="I173" s="1626"/>
      <c r="J173" s="1645"/>
      <c r="K173" s="1645"/>
      <c r="L173" s="66" t="s">
        <v>1106</v>
      </c>
      <c r="M173" s="68" t="s">
        <v>1411</v>
      </c>
      <c r="N173" s="69"/>
    </row>
    <row r="174" spans="1:14" x14ac:dyDescent="0.2">
      <c r="A174" s="78">
        <v>547</v>
      </c>
      <c r="B174" s="68" t="s">
        <v>1412</v>
      </c>
      <c r="C174" s="1643"/>
      <c r="D174" s="66" t="s">
        <v>1081</v>
      </c>
      <c r="E174" s="38">
        <v>40801</v>
      </c>
      <c r="F174" s="84" t="s">
        <v>682</v>
      </c>
      <c r="G174" s="1654"/>
      <c r="H174" s="1647"/>
      <c r="I174" s="1627"/>
      <c r="J174" s="1646"/>
      <c r="K174" s="1646"/>
      <c r="L174" s="66" t="s">
        <v>1106</v>
      </c>
      <c r="M174" s="68" t="s">
        <v>1413</v>
      </c>
      <c r="N174" s="69"/>
    </row>
    <row r="175" spans="1:14" x14ac:dyDescent="0.2">
      <c r="A175" s="78">
        <v>548</v>
      </c>
      <c r="B175" s="68" t="s">
        <v>1414</v>
      </c>
      <c r="C175" s="1641" t="s">
        <v>1102</v>
      </c>
      <c r="D175" s="66" t="s">
        <v>1083</v>
      </c>
      <c r="E175" s="38">
        <v>40799</v>
      </c>
      <c r="F175" s="84" t="s">
        <v>682</v>
      </c>
      <c r="G175" s="1654">
        <v>10</v>
      </c>
      <c r="H175" s="1647">
        <v>10</v>
      </c>
      <c r="I175" s="1625">
        <f>COUNTIF(F175:F184,"S")</f>
        <v>10</v>
      </c>
      <c r="J175" s="1644">
        <f>I175/G175</f>
        <v>1</v>
      </c>
      <c r="K175" s="1644">
        <f>IF(I175/H175&gt;1,1,I175/H175)</f>
        <v>1</v>
      </c>
      <c r="L175" s="66" t="s">
        <v>1106</v>
      </c>
      <c r="M175" s="68" t="s">
        <v>1415</v>
      </c>
      <c r="N175" s="69"/>
    </row>
    <row r="176" spans="1:14" x14ac:dyDescent="0.2">
      <c r="A176" s="78">
        <v>549</v>
      </c>
      <c r="B176" s="68" t="s">
        <v>1416</v>
      </c>
      <c r="C176" s="1642"/>
      <c r="D176" s="66" t="s">
        <v>1083</v>
      </c>
      <c r="E176" s="38">
        <v>40799</v>
      </c>
      <c r="F176" s="84" t="s">
        <v>682</v>
      </c>
      <c r="G176" s="1654"/>
      <c r="H176" s="1647"/>
      <c r="I176" s="1626"/>
      <c r="J176" s="1645"/>
      <c r="K176" s="1645"/>
      <c r="L176" s="66" t="s">
        <v>1106</v>
      </c>
      <c r="M176" s="68" t="s">
        <v>1417</v>
      </c>
      <c r="N176" s="69"/>
    </row>
    <row r="177" spans="1:14" x14ac:dyDescent="0.2">
      <c r="A177" s="78">
        <v>550</v>
      </c>
      <c r="B177" s="68" t="s">
        <v>1418</v>
      </c>
      <c r="C177" s="1642"/>
      <c r="D177" s="66" t="s">
        <v>1083</v>
      </c>
      <c r="E177" s="38">
        <v>40799</v>
      </c>
      <c r="F177" s="84" t="s">
        <v>682</v>
      </c>
      <c r="G177" s="1654"/>
      <c r="H177" s="1647"/>
      <c r="I177" s="1626"/>
      <c r="J177" s="1645"/>
      <c r="K177" s="1645"/>
      <c r="L177" s="66" t="s">
        <v>1106</v>
      </c>
      <c r="M177" s="68" t="s">
        <v>1419</v>
      </c>
      <c r="N177" s="69"/>
    </row>
    <row r="178" spans="1:14" x14ac:dyDescent="0.2">
      <c r="A178" s="78">
        <v>551</v>
      </c>
      <c r="B178" s="68" t="s">
        <v>1420</v>
      </c>
      <c r="C178" s="1642"/>
      <c r="D178" s="66" t="s">
        <v>1083</v>
      </c>
      <c r="E178" s="38">
        <v>40799</v>
      </c>
      <c r="F178" s="84" t="s">
        <v>682</v>
      </c>
      <c r="G178" s="1654"/>
      <c r="H178" s="1647"/>
      <c r="I178" s="1626"/>
      <c r="J178" s="1645"/>
      <c r="K178" s="1645"/>
      <c r="L178" s="66" t="s">
        <v>1106</v>
      </c>
      <c r="M178" s="68" t="s">
        <v>1421</v>
      </c>
      <c r="N178" s="69"/>
    </row>
    <row r="179" spans="1:14" x14ac:dyDescent="0.2">
      <c r="A179" s="78">
        <v>552</v>
      </c>
      <c r="B179" s="68" t="s">
        <v>1422</v>
      </c>
      <c r="C179" s="1642"/>
      <c r="D179" s="66" t="s">
        <v>1083</v>
      </c>
      <c r="E179" s="38">
        <v>40799</v>
      </c>
      <c r="F179" s="84" t="s">
        <v>682</v>
      </c>
      <c r="G179" s="1654"/>
      <c r="H179" s="1647"/>
      <c r="I179" s="1626"/>
      <c r="J179" s="1645"/>
      <c r="K179" s="1645"/>
      <c r="L179" s="66" t="s">
        <v>1106</v>
      </c>
      <c r="M179" s="68" t="s">
        <v>1423</v>
      </c>
      <c r="N179" s="69"/>
    </row>
    <row r="180" spans="1:14" x14ac:dyDescent="0.2">
      <c r="A180" s="78">
        <v>553</v>
      </c>
      <c r="B180" s="68" t="s">
        <v>1424</v>
      </c>
      <c r="C180" s="1642"/>
      <c r="D180" s="66" t="s">
        <v>1083</v>
      </c>
      <c r="E180" s="38">
        <v>40799</v>
      </c>
      <c r="F180" s="84" t="s">
        <v>682</v>
      </c>
      <c r="G180" s="1654"/>
      <c r="H180" s="1647"/>
      <c r="I180" s="1626"/>
      <c r="J180" s="1645"/>
      <c r="K180" s="1645"/>
      <c r="L180" s="66" t="s">
        <v>1106</v>
      </c>
      <c r="M180" s="68" t="s">
        <v>1425</v>
      </c>
      <c r="N180" s="69"/>
    </row>
    <row r="181" spans="1:14" x14ac:dyDescent="0.2">
      <c r="A181" s="78">
        <v>554</v>
      </c>
      <c r="B181" s="68" t="s">
        <v>1426</v>
      </c>
      <c r="C181" s="1642"/>
      <c r="D181" s="66" t="s">
        <v>1083</v>
      </c>
      <c r="E181" s="38">
        <v>40799</v>
      </c>
      <c r="F181" s="84" t="s">
        <v>682</v>
      </c>
      <c r="G181" s="1654"/>
      <c r="H181" s="1647"/>
      <c r="I181" s="1626"/>
      <c r="J181" s="1645"/>
      <c r="K181" s="1645"/>
      <c r="L181" s="66" t="s">
        <v>1106</v>
      </c>
      <c r="M181" s="68" t="s">
        <v>1427</v>
      </c>
      <c r="N181" s="69"/>
    </row>
    <row r="182" spans="1:14" x14ac:dyDescent="0.2">
      <c r="A182" s="78">
        <v>555</v>
      </c>
      <c r="B182" s="68" t="s">
        <v>1428</v>
      </c>
      <c r="C182" s="1642"/>
      <c r="D182" s="66" t="s">
        <v>1083</v>
      </c>
      <c r="E182" s="38">
        <v>40799</v>
      </c>
      <c r="F182" s="84" t="s">
        <v>682</v>
      </c>
      <c r="G182" s="1654"/>
      <c r="H182" s="1647"/>
      <c r="I182" s="1626"/>
      <c r="J182" s="1645"/>
      <c r="K182" s="1645"/>
      <c r="L182" s="66" t="s">
        <v>1106</v>
      </c>
      <c r="M182" s="68" t="s">
        <v>1429</v>
      </c>
      <c r="N182" s="69"/>
    </row>
    <row r="183" spans="1:14" x14ac:dyDescent="0.2">
      <c r="A183" s="78">
        <v>556</v>
      </c>
      <c r="B183" s="68" t="s">
        <v>1430</v>
      </c>
      <c r="C183" s="1642"/>
      <c r="D183" s="66" t="s">
        <v>1083</v>
      </c>
      <c r="E183" s="38">
        <v>40799</v>
      </c>
      <c r="F183" s="84" t="s">
        <v>682</v>
      </c>
      <c r="G183" s="1654"/>
      <c r="H183" s="1647"/>
      <c r="I183" s="1626"/>
      <c r="J183" s="1645"/>
      <c r="K183" s="1645"/>
      <c r="L183" s="66" t="s">
        <v>1106</v>
      </c>
      <c r="M183" s="68" t="s">
        <v>1431</v>
      </c>
      <c r="N183" s="69"/>
    </row>
    <row r="184" spans="1:14" x14ac:dyDescent="0.2">
      <c r="A184" s="78">
        <v>557</v>
      </c>
      <c r="B184" s="68" t="s">
        <v>1432</v>
      </c>
      <c r="C184" s="1643"/>
      <c r="D184" s="66" t="s">
        <v>1083</v>
      </c>
      <c r="E184" s="38">
        <v>40799</v>
      </c>
      <c r="F184" s="84" t="s">
        <v>682</v>
      </c>
      <c r="G184" s="1654"/>
      <c r="H184" s="1647"/>
      <c r="I184" s="1627"/>
      <c r="J184" s="1646"/>
      <c r="K184" s="1646"/>
      <c r="L184" s="66" t="s">
        <v>1106</v>
      </c>
      <c r="M184" s="68" t="s">
        <v>1433</v>
      </c>
      <c r="N184" s="69"/>
    </row>
    <row r="185" spans="1:14" x14ac:dyDescent="0.2">
      <c r="A185" s="78">
        <v>558</v>
      </c>
      <c r="B185" s="68" t="s">
        <v>1434</v>
      </c>
      <c r="C185" s="1641" t="s">
        <v>1102</v>
      </c>
      <c r="D185" s="66" t="s">
        <v>1085</v>
      </c>
      <c r="E185" s="38">
        <v>40799</v>
      </c>
      <c r="F185" s="84" t="s">
        <v>682</v>
      </c>
      <c r="G185" s="1654">
        <v>10</v>
      </c>
      <c r="H185" s="1647">
        <v>10</v>
      </c>
      <c r="I185" s="1625">
        <f>COUNTIF(F185:F194,"S")</f>
        <v>10</v>
      </c>
      <c r="J185" s="1644">
        <f>I185/G185</f>
        <v>1</v>
      </c>
      <c r="K185" s="1644">
        <f>IF(I185/H185&gt;1,1,I185/H185)</f>
        <v>1</v>
      </c>
      <c r="L185" s="66" t="s">
        <v>1106</v>
      </c>
      <c r="M185" s="68" t="s">
        <v>1435</v>
      </c>
      <c r="N185" s="69"/>
    </row>
    <row r="186" spans="1:14" x14ac:dyDescent="0.2">
      <c r="A186" s="78">
        <v>559</v>
      </c>
      <c r="B186" s="68" t="s">
        <v>1436</v>
      </c>
      <c r="C186" s="1642"/>
      <c r="D186" s="66" t="s">
        <v>1085</v>
      </c>
      <c r="E186" s="38">
        <v>40799</v>
      </c>
      <c r="F186" s="84" t="s">
        <v>682</v>
      </c>
      <c r="G186" s="1654"/>
      <c r="H186" s="1647"/>
      <c r="I186" s="1626"/>
      <c r="J186" s="1645"/>
      <c r="K186" s="1645"/>
      <c r="L186" s="66" t="s">
        <v>1106</v>
      </c>
      <c r="M186" s="68" t="s">
        <v>1437</v>
      </c>
      <c r="N186" s="69"/>
    </row>
    <row r="187" spans="1:14" x14ac:dyDescent="0.2">
      <c r="A187" s="78">
        <v>560</v>
      </c>
      <c r="B187" s="68" t="s">
        <v>1438</v>
      </c>
      <c r="C187" s="1642"/>
      <c r="D187" s="66" t="s">
        <v>1085</v>
      </c>
      <c r="E187" s="38">
        <v>40799</v>
      </c>
      <c r="F187" s="84" t="s">
        <v>682</v>
      </c>
      <c r="G187" s="1654"/>
      <c r="H187" s="1647"/>
      <c r="I187" s="1626"/>
      <c r="J187" s="1645"/>
      <c r="K187" s="1645"/>
      <c r="L187" s="66" t="s">
        <v>1106</v>
      </c>
      <c r="M187" s="68" t="s">
        <v>1439</v>
      </c>
      <c r="N187" s="69"/>
    </row>
    <row r="188" spans="1:14" x14ac:dyDescent="0.2">
      <c r="A188" s="78">
        <v>561</v>
      </c>
      <c r="B188" s="68" t="s">
        <v>1440</v>
      </c>
      <c r="C188" s="1642"/>
      <c r="D188" s="66" t="s">
        <v>1085</v>
      </c>
      <c r="E188" s="38">
        <v>40799</v>
      </c>
      <c r="F188" s="84" t="s">
        <v>682</v>
      </c>
      <c r="G188" s="1654"/>
      <c r="H188" s="1647"/>
      <c r="I188" s="1626"/>
      <c r="J188" s="1645"/>
      <c r="K188" s="1645"/>
      <c r="L188" s="66" t="s">
        <v>1106</v>
      </c>
      <c r="M188" s="68" t="s">
        <v>1441</v>
      </c>
      <c r="N188" s="69"/>
    </row>
    <row r="189" spans="1:14" x14ac:dyDescent="0.2">
      <c r="A189" s="78">
        <v>562</v>
      </c>
      <c r="B189" s="68" t="s">
        <v>1442</v>
      </c>
      <c r="C189" s="1642"/>
      <c r="D189" s="66" t="s">
        <v>1085</v>
      </c>
      <c r="E189" s="38">
        <v>40799</v>
      </c>
      <c r="F189" s="84" t="s">
        <v>682</v>
      </c>
      <c r="G189" s="1654"/>
      <c r="H189" s="1647"/>
      <c r="I189" s="1626"/>
      <c r="J189" s="1645"/>
      <c r="K189" s="1645"/>
      <c r="L189" s="66" t="s">
        <v>1106</v>
      </c>
      <c r="M189" s="68" t="s">
        <v>1443</v>
      </c>
      <c r="N189" s="69"/>
    </row>
    <row r="190" spans="1:14" x14ac:dyDescent="0.2">
      <c r="A190" s="78">
        <v>563</v>
      </c>
      <c r="B190" s="68" t="s">
        <v>1444</v>
      </c>
      <c r="C190" s="1642"/>
      <c r="D190" s="66" t="s">
        <v>1085</v>
      </c>
      <c r="E190" s="38">
        <v>40799</v>
      </c>
      <c r="F190" s="84" t="s">
        <v>682</v>
      </c>
      <c r="G190" s="1654"/>
      <c r="H190" s="1647"/>
      <c r="I190" s="1626"/>
      <c r="J190" s="1645"/>
      <c r="K190" s="1645"/>
      <c r="L190" s="66" t="s">
        <v>1106</v>
      </c>
      <c r="M190" s="68" t="s">
        <v>1445</v>
      </c>
      <c r="N190" s="69"/>
    </row>
    <row r="191" spans="1:14" x14ac:dyDescent="0.2">
      <c r="A191" s="78">
        <v>564</v>
      </c>
      <c r="B191" s="68" t="s">
        <v>1446</v>
      </c>
      <c r="C191" s="1642"/>
      <c r="D191" s="66" t="s">
        <v>1085</v>
      </c>
      <c r="E191" s="38">
        <v>40799</v>
      </c>
      <c r="F191" s="84" t="s">
        <v>682</v>
      </c>
      <c r="G191" s="1654"/>
      <c r="H191" s="1647"/>
      <c r="I191" s="1626"/>
      <c r="J191" s="1645"/>
      <c r="K191" s="1645"/>
      <c r="L191" s="66" t="s">
        <v>1106</v>
      </c>
      <c r="M191" s="68" t="s">
        <v>1447</v>
      </c>
      <c r="N191" s="69"/>
    </row>
    <row r="192" spans="1:14" x14ac:dyDescent="0.2">
      <c r="A192" s="78">
        <v>565</v>
      </c>
      <c r="B192" s="68" t="s">
        <v>1448</v>
      </c>
      <c r="C192" s="1642"/>
      <c r="D192" s="66" t="s">
        <v>1085</v>
      </c>
      <c r="E192" s="38">
        <v>40799</v>
      </c>
      <c r="F192" s="84" t="s">
        <v>682</v>
      </c>
      <c r="G192" s="1654"/>
      <c r="H192" s="1647"/>
      <c r="I192" s="1626"/>
      <c r="J192" s="1645"/>
      <c r="K192" s="1645"/>
      <c r="L192" s="66" t="s">
        <v>1106</v>
      </c>
      <c r="M192" s="68" t="s">
        <v>1449</v>
      </c>
      <c r="N192" s="69"/>
    </row>
    <row r="193" spans="1:14" x14ac:dyDescent="0.2">
      <c r="A193" s="78">
        <v>566</v>
      </c>
      <c r="B193" s="68" t="s">
        <v>1450</v>
      </c>
      <c r="C193" s="1642"/>
      <c r="D193" s="66" t="s">
        <v>1085</v>
      </c>
      <c r="E193" s="38">
        <v>40799</v>
      </c>
      <c r="F193" s="84" t="s">
        <v>682</v>
      </c>
      <c r="G193" s="1654"/>
      <c r="H193" s="1647"/>
      <c r="I193" s="1626"/>
      <c r="J193" s="1645"/>
      <c r="K193" s="1645"/>
      <c r="L193" s="66" t="s">
        <v>1106</v>
      </c>
      <c r="M193" s="68" t="s">
        <v>1451</v>
      </c>
      <c r="N193" s="69"/>
    </row>
    <row r="194" spans="1:14" x14ac:dyDescent="0.2">
      <c r="A194" s="78">
        <v>567</v>
      </c>
      <c r="B194" s="68" t="s">
        <v>1452</v>
      </c>
      <c r="C194" s="1643"/>
      <c r="D194" s="66" t="s">
        <v>1085</v>
      </c>
      <c r="E194" s="38">
        <v>40799</v>
      </c>
      <c r="F194" s="84" t="s">
        <v>682</v>
      </c>
      <c r="G194" s="1654"/>
      <c r="H194" s="1647"/>
      <c r="I194" s="1627"/>
      <c r="J194" s="1646"/>
      <c r="K194" s="1646"/>
      <c r="L194" s="66" t="s">
        <v>1106</v>
      </c>
      <c r="M194" s="68" t="s">
        <v>1453</v>
      </c>
      <c r="N194" s="69"/>
    </row>
    <row r="195" spans="1:14" x14ac:dyDescent="0.2">
      <c r="A195" s="78">
        <v>568</v>
      </c>
      <c r="B195" s="68" t="s">
        <v>1454</v>
      </c>
      <c r="C195" s="1641" t="s">
        <v>1102</v>
      </c>
      <c r="D195" s="66" t="s">
        <v>1088</v>
      </c>
      <c r="E195" s="38">
        <v>40828</v>
      </c>
      <c r="F195" s="84" t="s">
        <v>682</v>
      </c>
      <c r="G195" s="1654">
        <v>10</v>
      </c>
      <c r="H195" s="1647">
        <v>10</v>
      </c>
      <c r="I195" s="1625">
        <f>COUNTIF(F195:F204,"S")</f>
        <v>10</v>
      </c>
      <c r="J195" s="1644">
        <f>I195/G195</f>
        <v>1</v>
      </c>
      <c r="K195" s="1644">
        <f>IF(I195/H195&gt;1,1,I195/H195)</f>
        <v>1</v>
      </c>
      <c r="L195" s="66" t="s">
        <v>1106</v>
      </c>
      <c r="M195" s="68" t="s">
        <v>1455</v>
      </c>
      <c r="N195" s="69"/>
    </row>
    <row r="196" spans="1:14" x14ac:dyDescent="0.2">
      <c r="A196" s="78">
        <v>569</v>
      </c>
      <c r="B196" s="68" t="s">
        <v>1456</v>
      </c>
      <c r="C196" s="1642"/>
      <c r="D196" s="66" t="s">
        <v>1088</v>
      </c>
      <c r="E196" s="38">
        <v>40828</v>
      </c>
      <c r="F196" s="84" t="s">
        <v>682</v>
      </c>
      <c r="G196" s="1654"/>
      <c r="H196" s="1647"/>
      <c r="I196" s="1626"/>
      <c r="J196" s="1645"/>
      <c r="K196" s="1645"/>
      <c r="L196" s="66" t="s">
        <v>1106</v>
      </c>
      <c r="M196" s="68" t="s">
        <v>1457</v>
      </c>
      <c r="N196" s="69"/>
    </row>
    <row r="197" spans="1:14" x14ac:dyDescent="0.2">
      <c r="A197" s="78">
        <v>570</v>
      </c>
      <c r="B197" s="68" t="s">
        <v>1458</v>
      </c>
      <c r="C197" s="1642"/>
      <c r="D197" s="66" t="s">
        <v>1088</v>
      </c>
      <c r="E197" s="38">
        <v>40828</v>
      </c>
      <c r="F197" s="84" t="s">
        <v>682</v>
      </c>
      <c r="G197" s="1654"/>
      <c r="H197" s="1647"/>
      <c r="I197" s="1626"/>
      <c r="J197" s="1645"/>
      <c r="K197" s="1645"/>
      <c r="L197" s="66" t="s">
        <v>1106</v>
      </c>
      <c r="M197" s="68" t="s">
        <v>1459</v>
      </c>
      <c r="N197" s="69"/>
    </row>
    <row r="198" spans="1:14" x14ac:dyDescent="0.2">
      <c r="A198" s="78">
        <v>571</v>
      </c>
      <c r="B198" s="68" t="s">
        <v>1460</v>
      </c>
      <c r="C198" s="1642"/>
      <c r="D198" s="66" t="s">
        <v>1088</v>
      </c>
      <c r="E198" s="38">
        <v>40828</v>
      </c>
      <c r="F198" s="84" t="s">
        <v>682</v>
      </c>
      <c r="G198" s="1654"/>
      <c r="H198" s="1647"/>
      <c r="I198" s="1626"/>
      <c r="J198" s="1645"/>
      <c r="K198" s="1645"/>
      <c r="L198" s="66" t="s">
        <v>1106</v>
      </c>
      <c r="M198" s="68" t="s">
        <v>1461</v>
      </c>
      <c r="N198" s="69"/>
    </row>
    <row r="199" spans="1:14" x14ac:dyDescent="0.2">
      <c r="A199" s="78">
        <v>572</v>
      </c>
      <c r="B199" s="68" t="s">
        <v>1462</v>
      </c>
      <c r="C199" s="1642"/>
      <c r="D199" s="66" t="s">
        <v>1088</v>
      </c>
      <c r="E199" s="38">
        <v>40828</v>
      </c>
      <c r="F199" s="84" t="s">
        <v>682</v>
      </c>
      <c r="G199" s="1654"/>
      <c r="H199" s="1647"/>
      <c r="I199" s="1626"/>
      <c r="J199" s="1645"/>
      <c r="K199" s="1645"/>
      <c r="L199" s="66" t="s">
        <v>1106</v>
      </c>
      <c r="M199" s="68" t="s">
        <v>1463</v>
      </c>
      <c r="N199" s="69"/>
    </row>
    <row r="200" spans="1:14" x14ac:dyDescent="0.2">
      <c r="A200" s="78">
        <v>573</v>
      </c>
      <c r="B200" s="68" t="s">
        <v>1464</v>
      </c>
      <c r="C200" s="1642"/>
      <c r="D200" s="66" t="s">
        <v>1088</v>
      </c>
      <c r="E200" s="38">
        <v>40828</v>
      </c>
      <c r="F200" s="84" t="s">
        <v>682</v>
      </c>
      <c r="G200" s="1654"/>
      <c r="H200" s="1647"/>
      <c r="I200" s="1626"/>
      <c r="J200" s="1645"/>
      <c r="K200" s="1645"/>
      <c r="L200" s="66" t="s">
        <v>1106</v>
      </c>
      <c r="M200" s="68" t="s">
        <v>1465</v>
      </c>
      <c r="N200" s="69"/>
    </row>
    <row r="201" spans="1:14" x14ac:dyDescent="0.2">
      <c r="A201" s="78">
        <v>574</v>
      </c>
      <c r="B201" s="68" t="s">
        <v>1466</v>
      </c>
      <c r="C201" s="1642"/>
      <c r="D201" s="66" t="s">
        <v>1088</v>
      </c>
      <c r="E201" s="38">
        <v>40828</v>
      </c>
      <c r="F201" s="84" t="s">
        <v>682</v>
      </c>
      <c r="G201" s="1654"/>
      <c r="H201" s="1647"/>
      <c r="I201" s="1626"/>
      <c r="J201" s="1645"/>
      <c r="K201" s="1645"/>
      <c r="L201" s="66" t="s">
        <v>1106</v>
      </c>
      <c r="M201" s="68" t="s">
        <v>1467</v>
      </c>
      <c r="N201" s="69"/>
    </row>
    <row r="202" spans="1:14" x14ac:dyDescent="0.2">
      <c r="A202" s="78">
        <v>575</v>
      </c>
      <c r="B202" s="68" t="s">
        <v>1468</v>
      </c>
      <c r="C202" s="1642"/>
      <c r="D202" s="66" t="s">
        <v>1088</v>
      </c>
      <c r="E202" s="38">
        <v>40828</v>
      </c>
      <c r="F202" s="84" t="s">
        <v>682</v>
      </c>
      <c r="G202" s="1654"/>
      <c r="H202" s="1647"/>
      <c r="I202" s="1626"/>
      <c r="J202" s="1645"/>
      <c r="K202" s="1645"/>
      <c r="L202" s="66" t="s">
        <v>1106</v>
      </c>
      <c r="M202" s="68" t="s">
        <v>1469</v>
      </c>
      <c r="N202" s="69"/>
    </row>
    <row r="203" spans="1:14" x14ac:dyDescent="0.2">
      <c r="A203" s="78">
        <v>576</v>
      </c>
      <c r="B203" s="68" t="s">
        <v>1470</v>
      </c>
      <c r="C203" s="1642"/>
      <c r="D203" s="66" t="s">
        <v>1088</v>
      </c>
      <c r="E203" s="38">
        <v>40828</v>
      </c>
      <c r="F203" s="84" t="s">
        <v>682</v>
      </c>
      <c r="G203" s="1654"/>
      <c r="H203" s="1647"/>
      <c r="I203" s="1626"/>
      <c r="J203" s="1645"/>
      <c r="K203" s="1645"/>
      <c r="L203" s="66" t="s">
        <v>1106</v>
      </c>
      <c r="M203" s="68" t="s">
        <v>1471</v>
      </c>
      <c r="N203" s="69"/>
    </row>
    <row r="204" spans="1:14" x14ac:dyDescent="0.2">
      <c r="A204" s="78">
        <v>577</v>
      </c>
      <c r="B204" s="68" t="s">
        <v>1472</v>
      </c>
      <c r="C204" s="1643"/>
      <c r="D204" s="66" t="s">
        <v>1088</v>
      </c>
      <c r="E204" s="38">
        <v>40828</v>
      </c>
      <c r="F204" s="84" t="s">
        <v>682</v>
      </c>
      <c r="G204" s="1654"/>
      <c r="H204" s="1647"/>
      <c r="I204" s="1627"/>
      <c r="J204" s="1646"/>
      <c r="K204" s="1646"/>
      <c r="L204" s="66" t="s">
        <v>1106</v>
      </c>
      <c r="M204" s="68" t="s">
        <v>1473</v>
      </c>
      <c r="N204" s="69"/>
    </row>
    <row r="205" spans="1:14" x14ac:dyDescent="0.2">
      <c r="A205" s="78">
        <v>578</v>
      </c>
      <c r="B205" s="68" t="s">
        <v>1474</v>
      </c>
      <c r="C205" s="1641" t="s">
        <v>1102</v>
      </c>
      <c r="D205" s="66" t="s">
        <v>1090</v>
      </c>
      <c r="E205" s="38">
        <v>40800</v>
      </c>
      <c r="F205" s="84" t="s">
        <v>682</v>
      </c>
      <c r="G205" s="1654">
        <v>10</v>
      </c>
      <c r="H205" s="1647">
        <v>10</v>
      </c>
      <c r="I205" s="1625">
        <f>COUNTIF(F205:F214,"S")</f>
        <v>10</v>
      </c>
      <c r="J205" s="1644">
        <f>I205/G205</f>
        <v>1</v>
      </c>
      <c r="K205" s="1644">
        <f>IF(I205/H205&gt;1,1,I205/H205)</f>
        <v>1</v>
      </c>
      <c r="L205" s="66" t="s">
        <v>1106</v>
      </c>
      <c r="M205" s="68" t="s">
        <v>1475</v>
      </c>
      <c r="N205" s="69"/>
    </row>
    <row r="206" spans="1:14" x14ac:dyDescent="0.2">
      <c r="A206" s="78">
        <v>579</v>
      </c>
      <c r="B206" s="68" t="s">
        <v>1476</v>
      </c>
      <c r="C206" s="1642"/>
      <c r="D206" s="66" t="s">
        <v>1090</v>
      </c>
      <c r="E206" s="38">
        <v>40800</v>
      </c>
      <c r="F206" s="84" t="s">
        <v>682</v>
      </c>
      <c r="G206" s="1654"/>
      <c r="H206" s="1647"/>
      <c r="I206" s="1626"/>
      <c r="J206" s="1645"/>
      <c r="K206" s="1645"/>
      <c r="L206" s="66" t="s">
        <v>1106</v>
      </c>
      <c r="M206" s="68" t="s">
        <v>1477</v>
      </c>
      <c r="N206" s="69"/>
    </row>
    <row r="207" spans="1:14" x14ac:dyDescent="0.2">
      <c r="A207" s="78">
        <v>580</v>
      </c>
      <c r="B207" s="68" t="s">
        <v>1478</v>
      </c>
      <c r="C207" s="1642"/>
      <c r="D207" s="66" t="s">
        <v>1090</v>
      </c>
      <c r="E207" s="38">
        <v>40800</v>
      </c>
      <c r="F207" s="84" t="s">
        <v>682</v>
      </c>
      <c r="G207" s="1654"/>
      <c r="H207" s="1647"/>
      <c r="I207" s="1626"/>
      <c r="J207" s="1645"/>
      <c r="K207" s="1645"/>
      <c r="L207" s="66" t="s">
        <v>1106</v>
      </c>
      <c r="M207" s="68" t="s">
        <v>1479</v>
      </c>
      <c r="N207" s="69"/>
    </row>
    <row r="208" spans="1:14" x14ac:dyDescent="0.2">
      <c r="A208" s="78">
        <v>581</v>
      </c>
      <c r="B208" s="68" t="s">
        <v>1480</v>
      </c>
      <c r="C208" s="1642"/>
      <c r="D208" s="66" t="s">
        <v>1090</v>
      </c>
      <c r="E208" s="38">
        <v>40800</v>
      </c>
      <c r="F208" s="84" t="s">
        <v>682</v>
      </c>
      <c r="G208" s="1654"/>
      <c r="H208" s="1647"/>
      <c r="I208" s="1626"/>
      <c r="J208" s="1645"/>
      <c r="K208" s="1645"/>
      <c r="L208" s="66" t="s">
        <v>1106</v>
      </c>
      <c r="M208" s="68" t="s">
        <v>1481</v>
      </c>
      <c r="N208" s="69"/>
    </row>
    <row r="209" spans="1:14" x14ac:dyDescent="0.2">
      <c r="A209" s="78">
        <v>582</v>
      </c>
      <c r="B209" s="68" t="s">
        <v>1482</v>
      </c>
      <c r="C209" s="1642"/>
      <c r="D209" s="66" t="s">
        <v>1090</v>
      </c>
      <c r="E209" s="38">
        <v>40800</v>
      </c>
      <c r="F209" s="84" t="s">
        <v>682</v>
      </c>
      <c r="G209" s="1654"/>
      <c r="H209" s="1647"/>
      <c r="I209" s="1626"/>
      <c r="J209" s="1645"/>
      <c r="K209" s="1645"/>
      <c r="L209" s="66" t="s">
        <v>1106</v>
      </c>
      <c r="M209" s="68" t="s">
        <v>1483</v>
      </c>
      <c r="N209" s="69"/>
    </row>
    <row r="210" spans="1:14" x14ac:dyDescent="0.2">
      <c r="A210" s="78">
        <v>583</v>
      </c>
      <c r="B210" s="68" t="s">
        <v>1484</v>
      </c>
      <c r="C210" s="1642"/>
      <c r="D210" s="66" t="s">
        <v>1090</v>
      </c>
      <c r="E210" s="38">
        <v>40800</v>
      </c>
      <c r="F210" s="84" t="s">
        <v>682</v>
      </c>
      <c r="G210" s="1654"/>
      <c r="H210" s="1647"/>
      <c r="I210" s="1626"/>
      <c r="J210" s="1645"/>
      <c r="K210" s="1645"/>
      <c r="L210" s="66" t="s">
        <v>1106</v>
      </c>
      <c r="M210" s="68" t="s">
        <v>1485</v>
      </c>
      <c r="N210" s="69"/>
    </row>
    <row r="211" spans="1:14" x14ac:dyDescent="0.2">
      <c r="A211" s="78">
        <v>584</v>
      </c>
      <c r="B211" s="68" t="s">
        <v>1486</v>
      </c>
      <c r="C211" s="1642"/>
      <c r="D211" s="66" t="s">
        <v>1090</v>
      </c>
      <c r="E211" s="38">
        <v>40800</v>
      </c>
      <c r="F211" s="84" t="s">
        <v>682</v>
      </c>
      <c r="G211" s="1654"/>
      <c r="H211" s="1647"/>
      <c r="I211" s="1626"/>
      <c r="J211" s="1645"/>
      <c r="K211" s="1645"/>
      <c r="L211" s="66" t="s">
        <v>1106</v>
      </c>
      <c r="M211" s="68" t="s">
        <v>1487</v>
      </c>
      <c r="N211" s="69"/>
    </row>
    <row r="212" spans="1:14" x14ac:dyDescent="0.2">
      <c r="A212" s="78">
        <v>585</v>
      </c>
      <c r="B212" s="68" t="s">
        <v>1488</v>
      </c>
      <c r="C212" s="1642"/>
      <c r="D212" s="66" t="s">
        <v>1090</v>
      </c>
      <c r="E212" s="38">
        <v>40800</v>
      </c>
      <c r="F212" s="84" t="s">
        <v>682</v>
      </c>
      <c r="G212" s="1654"/>
      <c r="H212" s="1647"/>
      <c r="I212" s="1626"/>
      <c r="J212" s="1645"/>
      <c r="K212" s="1645"/>
      <c r="L212" s="66" t="s">
        <v>1106</v>
      </c>
      <c r="M212" s="68" t="s">
        <v>1489</v>
      </c>
      <c r="N212" s="69"/>
    </row>
    <row r="213" spans="1:14" x14ac:dyDescent="0.2">
      <c r="A213" s="78">
        <v>586</v>
      </c>
      <c r="B213" s="68" t="s">
        <v>1490</v>
      </c>
      <c r="C213" s="1642"/>
      <c r="D213" s="66" t="s">
        <v>1090</v>
      </c>
      <c r="E213" s="38">
        <v>40800</v>
      </c>
      <c r="F213" s="84" t="s">
        <v>682</v>
      </c>
      <c r="G213" s="1654"/>
      <c r="H213" s="1647"/>
      <c r="I213" s="1626"/>
      <c r="J213" s="1645"/>
      <c r="K213" s="1645"/>
      <c r="L213" s="66" t="s">
        <v>1106</v>
      </c>
      <c r="M213" s="68" t="s">
        <v>1491</v>
      </c>
      <c r="N213" s="69"/>
    </row>
    <row r="214" spans="1:14" x14ac:dyDescent="0.2">
      <c r="A214" s="78">
        <v>587</v>
      </c>
      <c r="B214" s="68" t="s">
        <v>1492</v>
      </c>
      <c r="C214" s="1643"/>
      <c r="D214" s="66" t="s">
        <v>1090</v>
      </c>
      <c r="E214" s="38">
        <v>40800</v>
      </c>
      <c r="F214" s="84" t="s">
        <v>682</v>
      </c>
      <c r="G214" s="1654"/>
      <c r="H214" s="1647"/>
      <c r="I214" s="1627"/>
      <c r="J214" s="1646"/>
      <c r="K214" s="1646"/>
      <c r="L214" s="66" t="s">
        <v>1106</v>
      </c>
      <c r="M214" s="68" t="s">
        <v>1493</v>
      </c>
      <c r="N214" s="69"/>
    </row>
    <row r="215" spans="1:14" x14ac:dyDescent="0.2">
      <c r="A215" s="78">
        <v>588</v>
      </c>
      <c r="B215" s="68" t="s">
        <v>1494</v>
      </c>
      <c r="C215" s="1641" t="s">
        <v>1102</v>
      </c>
      <c r="D215" s="66" t="s">
        <v>1093</v>
      </c>
      <c r="E215" s="38">
        <v>40656</v>
      </c>
      <c r="F215" s="84" t="s">
        <v>682</v>
      </c>
      <c r="G215" s="1654">
        <v>10</v>
      </c>
      <c r="H215" s="1647">
        <v>10</v>
      </c>
      <c r="I215" s="1625">
        <f>COUNTIF(F215:F224,"S")</f>
        <v>10</v>
      </c>
      <c r="J215" s="1644">
        <f>I215/G215</f>
        <v>1</v>
      </c>
      <c r="K215" s="1644">
        <f>IF(I215/H215&gt;1,1,I215/H215)</f>
        <v>1</v>
      </c>
      <c r="L215" s="66" t="s">
        <v>1106</v>
      </c>
      <c r="M215" s="68" t="s">
        <v>683</v>
      </c>
      <c r="N215" s="69"/>
    </row>
    <row r="216" spans="1:14" x14ac:dyDescent="0.2">
      <c r="A216" s="78">
        <v>589</v>
      </c>
      <c r="B216" s="68" t="s">
        <v>1495</v>
      </c>
      <c r="C216" s="1642"/>
      <c r="D216" s="66" t="s">
        <v>1093</v>
      </c>
      <c r="E216" s="38">
        <v>40656</v>
      </c>
      <c r="F216" s="84" t="s">
        <v>682</v>
      </c>
      <c r="G216" s="1654"/>
      <c r="H216" s="1647"/>
      <c r="I216" s="1626"/>
      <c r="J216" s="1645"/>
      <c r="K216" s="1645"/>
      <c r="L216" s="66" t="s">
        <v>1106</v>
      </c>
      <c r="M216" s="68" t="s">
        <v>683</v>
      </c>
      <c r="N216" s="69"/>
    </row>
    <row r="217" spans="1:14" x14ac:dyDescent="0.2">
      <c r="A217" s="78">
        <v>590</v>
      </c>
      <c r="B217" s="68" t="s">
        <v>1496</v>
      </c>
      <c r="C217" s="1642"/>
      <c r="D217" s="66" t="s">
        <v>1093</v>
      </c>
      <c r="E217" s="38">
        <v>40656</v>
      </c>
      <c r="F217" s="84" t="s">
        <v>682</v>
      </c>
      <c r="G217" s="1654"/>
      <c r="H217" s="1647"/>
      <c r="I217" s="1626"/>
      <c r="J217" s="1645"/>
      <c r="K217" s="1645"/>
      <c r="L217" s="66" t="s">
        <v>1106</v>
      </c>
      <c r="M217" s="68" t="s">
        <v>683</v>
      </c>
      <c r="N217" s="69"/>
    </row>
    <row r="218" spans="1:14" x14ac:dyDescent="0.2">
      <c r="A218" s="78">
        <v>591</v>
      </c>
      <c r="B218" s="68" t="s">
        <v>1497</v>
      </c>
      <c r="C218" s="1642"/>
      <c r="D218" s="66" t="s">
        <v>1093</v>
      </c>
      <c r="E218" s="38">
        <v>40656</v>
      </c>
      <c r="F218" s="84" t="s">
        <v>682</v>
      </c>
      <c r="G218" s="1654"/>
      <c r="H218" s="1647"/>
      <c r="I218" s="1626"/>
      <c r="J218" s="1645"/>
      <c r="K218" s="1645"/>
      <c r="L218" s="66" t="s">
        <v>1106</v>
      </c>
      <c r="M218" s="68" t="s">
        <v>683</v>
      </c>
      <c r="N218" s="69"/>
    </row>
    <row r="219" spans="1:14" x14ac:dyDescent="0.2">
      <c r="A219" s="78">
        <v>592</v>
      </c>
      <c r="B219" s="68" t="s">
        <v>1498</v>
      </c>
      <c r="C219" s="1642"/>
      <c r="D219" s="66" t="s">
        <v>1093</v>
      </c>
      <c r="E219" s="38">
        <v>40656</v>
      </c>
      <c r="F219" s="84" t="s">
        <v>682</v>
      </c>
      <c r="G219" s="1654"/>
      <c r="H219" s="1647"/>
      <c r="I219" s="1626"/>
      <c r="J219" s="1645"/>
      <c r="K219" s="1645"/>
      <c r="L219" s="66" t="s">
        <v>1106</v>
      </c>
      <c r="M219" s="68" t="s">
        <v>683</v>
      </c>
      <c r="N219" s="69"/>
    </row>
    <row r="220" spans="1:14" x14ac:dyDescent="0.2">
      <c r="A220" s="78">
        <v>593</v>
      </c>
      <c r="B220" s="68" t="s">
        <v>1499</v>
      </c>
      <c r="C220" s="1642"/>
      <c r="D220" s="66" t="s">
        <v>1093</v>
      </c>
      <c r="E220" s="38">
        <v>40656</v>
      </c>
      <c r="F220" s="84" t="s">
        <v>682</v>
      </c>
      <c r="G220" s="1654"/>
      <c r="H220" s="1647"/>
      <c r="I220" s="1626"/>
      <c r="J220" s="1645"/>
      <c r="K220" s="1645"/>
      <c r="L220" s="66" t="s">
        <v>1106</v>
      </c>
      <c r="M220" s="68" t="s">
        <v>683</v>
      </c>
      <c r="N220" s="69"/>
    </row>
    <row r="221" spans="1:14" x14ac:dyDescent="0.2">
      <c r="A221" s="78">
        <v>594</v>
      </c>
      <c r="B221" s="68" t="s">
        <v>1500</v>
      </c>
      <c r="C221" s="1642"/>
      <c r="D221" s="66" t="s">
        <v>1093</v>
      </c>
      <c r="E221" s="38">
        <v>40656</v>
      </c>
      <c r="F221" s="84" t="s">
        <v>682</v>
      </c>
      <c r="G221" s="1654"/>
      <c r="H221" s="1647"/>
      <c r="I221" s="1626"/>
      <c r="J221" s="1645"/>
      <c r="K221" s="1645"/>
      <c r="L221" s="66" t="s">
        <v>1106</v>
      </c>
      <c r="M221" s="68" t="s">
        <v>683</v>
      </c>
      <c r="N221" s="69"/>
    </row>
    <row r="222" spans="1:14" x14ac:dyDescent="0.2">
      <c r="A222" s="78">
        <v>595</v>
      </c>
      <c r="B222" s="68" t="s">
        <v>1501</v>
      </c>
      <c r="C222" s="1642"/>
      <c r="D222" s="66" t="s">
        <v>1093</v>
      </c>
      <c r="E222" s="38">
        <v>40656</v>
      </c>
      <c r="F222" s="84" t="s">
        <v>682</v>
      </c>
      <c r="G222" s="1654"/>
      <c r="H222" s="1647"/>
      <c r="I222" s="1626"/>
      <c r="J222" s="1645"/>
      <c r="K222" s="1645"/>
      <c r="L222" s="66" t="s">
        <v>1106</v>
      </c>
      <c r="M222" s="68" t="s">
        <v>683</v>
      </c>
      <c r="N222" s="69"/>
    </row>
    <row r="223" spans="1:14" x14ac:dyDescent="0.2">
      <c r="A223" s="78">
        <v>596</v>
      </c>
      <c r="B223" s="68" t="s">
        <v>1502</v>
      </c>
      <c r="C223" s="1642"/>
      <c r="D223" s="66" t="s">
        <v>1093</v>
      </c>
      <c r="E223" s="38">
        <v>40656</v>
      </c>
      <c r="F223" s="84" t="s">
        <v>682</v>
      </c>
      <c r="G223" s="1654"/>
      <c r="H223" s="1647"/>
      <c r="I223" s="1626"/>
      <c r="J223" s="1645"/>
      <c r="K223" s="1645"/>
      <c r="L223" s="66" t="s">
        <v>1106</v>
      </c>
      <c r="M223" s="68" t="s">
        <v>683</v>
      </c>
      <c r="N223" s="69"/>
    </row>
    <row r="224" spans="1:14" x14ac:dyDescent="0.2">
      <c r="A224" s="78">
        <v>597</v>
      </c>
      <c r="B224" s="68" t="s">
        <v>1503</v>
      </c>
      <c r="C224" s="1643"/>
      <c r="D224" s="66" t="s">
        <v>1093</v>
      </c>
      <c r="E224" s="38">
        <v>40656</v>
      </c>
      <c r="F224" s="84" t="s">
        <v>682</v>
      </c>
      <c r="G224" s="1654"/>
      <c r="H224" s="1647"/>
      <c r="I224" s="1627"/>
      <c r="J224" s="1646"/>
      <c r="K224" s="1646"/>
      <c r="L224" s="66" t="s">
        <v>1106</v>
      </c>
      <c r="M224" s="68" t="s">
        <v>683</v>
      </c>
      <c r="N224" s="69"/>
    </row>
    <row r="225" spans="1:14" x14ac:dyDescent="0.2">
      <c r="A225" s="78">
        <v>598</v>
      </c>
      <c r="B225" s="68" t="s">
        <v>1504</v>
      </c>
      <c r="C225" s="1641" t="s">
        <v>1102</v>
      </c>
      <c r="D225" s="66" t="s">
        <v>1095</v>
      </c>
      <c r="E225" s="38">
        <v>40656</v>
      </c>
      <c r="F225" s="84" t="s">
        <v>682</v>
      </c>
      <c r="G225" s="1654">
        <v>10</v>
      </c>
      <c r="H225" s="1647">
        <v>10</v>
      </c>
      <c r="I225" s="1625">
        <f>COUNTIF(F225:F234,"S")</f>
        <v>10</v>
      </c>
      <c r="J225" s="1644">
        <f>I225/G225</f>
        <v>1</v>
      </c>
      <c r="K225" s="1644">
        <f>IF(I225/H225&gt;1,1,I225/H225)</f>
        <v>1</v>
      </c>
      <c r="L225" s="66" t="s">
        <v>1106</v>
      </c>
      <c r="M225" s="68" t="s">
        <v>683</v>
      </c>
      <c r="N225" s="69"/>
    </row>
    <row r="226" spans="1:14" x14ac:dyDescent="0.2">
      <c r="A226" s="78">
        <v>599</v>
      </c>
      <c r="B226" s="68" t="s">
        <v>1505</v>
      </c>
      <c r="C226" s="1642"/>
      <c r="D226" s="66" t="s">
        <v>1095</v>
      </c>
      <c r="E226" s="38">
        <v>40656</v>
      </c>
      <c r="F226" s="84" t="s">
        <v>682</v>
      </c>
      <c r="G226" s="1654"/>
      <c r="H226" s="1647"/>
      <c r="I226" s="1626"/>
      <c r="J226" s="1645"/>
      <c r="K226" s="1645"/>
      <c r="L226" s="66" t="s">
        <v>1106</v>
      </c>
      <c r="M226" s="68" t="s">
        <v>683</v>
      </c>
      <c r="N226" s="69"/>
    </row>
    <row r="227" spans="1:14" x14ac:dyDescent="0.2">
      <c r="A227" s="78">
        <v>600</v>
      </c>
      <c r="B227" s="68" t="s">
        <v>1506</v>
      </c>
      <c r="C227" s="1642"/>
      <c r="D227" s="66" t="s">
        <v>1095</v>
      </c>
      <c r="E227" s="38">
        <v>40656</v>
      </c>
      <c r="F227" s="84" t="s">
        <v>682</v>
      </c>
      <c r="G227" s="1654"/>
      <c r="H227" s="1647"/>
      <c r="I227" s="1626"/>
      <c r="J227" s="1645"/>
      <c r="K227" s="1645"/>
      <c r="L227" s="66" t="s">
        <v>1106</v>
      </c>
      <c r="M227" s="68" t="s">
        <v>683</v>
      </c>
      <c r="N227" s="69"/>
    </row>
    <row r="228" spans="1:14" x14ac:dyDescent="0.2">
      <c r="A228" s="78">
        <v>601</v>
      </c>
      <c r="B228" s="68" t="s">
        <v>1507</v>
      </c>
      <c r="C228" s="1642"/>
      <c r="D228" s="66" t="s">
        <v>1095</v>
      </c>
      <c r="E228" s="38">
        <v>40656</v>
      </c>
      <c r="F228" s="84" t="s">
        <v>682</v>
      </c>
      <c r="G228" s="1654"/>
      <c r="H228" s="1647"/>
      <c r="I228" s="1626"/>
      <c r="J228" s="1645"/>
      <c r="K228" s="1645"/>
      <c r="L228" s="66" t="s">
        <v>1106</v>
      </c>
      <c r="M228" s="68" t="s">
        <v>683</v>
      </c>
      <c r="N228" s="69"/>
    </row>
    <row r="229" spans="1:14" x14ac:dyDescent="0.2">
      <c r="A229" s="78">
        <v>602</v>
      </c>
      <c r="B229" s="68" t="s">
        <v>1508</v>
      </c>
      <c r="C229" s="1642"/>
      <c r="D229" s="66" t="s">
        <v>1095</v>
      </c>
      <c r="E229" s="38">
        <v>40656</v>
      </c>
      <c r="F229" s="84" t="s">
        <v>682</v>
      </c>
      <c r="G229" s="1654"/>
      <c r="H229" s="1647"/>
      <c r="I229" s="1626"/>
      <c r="J229" s="1645"/>
      <c r="K229" s="1645"/>
      <c r="L229" s="66" t="s">
        <v>1106</v>
      </c>
      <c r="M229" s="68" t="s">
        <v>683</v>
      </c>
      <c r="N229" s="69"/>
    </row>
    <row r="230" spans="1:14" x14ac:dyDescent="0.2">
      <c r="A230" s="78">
        <v>603</v>
      </c>
      <c r="B230" s="68" t="s">
        <v>1509</v>
      </c>
      <c r="C230" s="1642"/>
      <c r="D230" s="66" t="s">
        <v>1095</v>
      </c>
      <c r="E230" s="38">
        <v>40656</v>
      </c>
      <c r="F230" s="84" t="s">
        <v>682</v>
      </c>
      <c r="G230" s="1654"/>
      <c r="H230" s="1647"/>
      <c r="I230" s="1626"/>
      <c r="J230" s="1645"/>
      <c r="K230" s="1645"/>
      <c r="L230" s="66" t="s">
        <v>1106</v>
      </c>
      <c r="M230" s="68" t="s">
        <v>683</v>
      </c>
      <c r="N230" s="69"/>
    </row>
    <row r="231" spans="1:14" x14ac:dyDescent="0.2">
      <c r="A231" s="78">
        <v>604</v>
      </c>
      <c r="B231" s="68" t="s">
        <v>1510</v>
      </c>
      <c r="C231" s="1642"/>
      <c r="D231" s="66" t="s">
        <v>1095</v>
      </c>
      <c r="E231" s="38">
        <v>40656</v>
      </c>
      <c r="F231" s="84" t="s">
        <v>682</v>
      </c>
      <c r="G231" s="1654"/>
      <c r="H231" s="1647"/>
      <c r="I231" s="1626"/>
      <c r="J231" s="1645"/>
      <c r="K231" s="1645"/>
      <c r="L231" s="66" t="s">
        <v>1106</v>
      </c>
      <c r="M231" s="68" t="s">
        <v>683</v>
      </c>
      <c r="N231" s="69"/>
    </row>
    <row r="232" spans="1:14" x14ac:dyDescent="0.2">
      <c r="A232" s="78">
        <v>605</v>
      </c>
      <c r="B232" s="68" t="s">
        <v>1511</v>
      </c>
      <c r="C232" s="1642"/>
      <c r="D232" s="66" t="s">
        <v>1095</v>
      </c>
      <c r="E232" s="38">
        <v>40656</v>
      </c>
      <c r="F232" s="84" t="s">
        <v>682</v>
      </c>
      <c r="G232" s="1654"/>
      <c r="H232" s="1647"/>
      <c r="I232" s="1626"/>
      <c r="J232" s="1645"/>
      <c r="K232" s="1645"/>
      <c r="L232" s="66" t="s">
        <v>1106</v>
      </c>
      <c r="M232" s="68" t="s">
        <v>683</v>
      </c>
      <c r="N232" s="69"/>
    </row>
    <row r="233" spans="1:14" x14ac:dyDescent="0.2">
      <c r="A233" s="78">
        <v>606</v>
      </c>
      <c r="B233" s="68" t="s">
        <v>1512</v>
      </c>
      <c r="C233" s="1642"/>
      <c r="D233" s="66" t="s">
        <v>1095</v>
      </c>
      <c r="E233" s="38">
        <v>40656</v>
      </c>
      <c r="F233" s="84" t="s">
        <v>682</v>
      </c>
      <c r="G233" s="1654"/>
      <c r="H233" s="1647"/>
      <c r="I233" s="1626"/>
      <c r="J233" s="1645"/>
      <c r="K233" s="1645"/>
      <c r="L233" s="66" t="s">
        <v>1106</v>
      </c>
      <c r="M233" s="68" t="s">
        <v>683</v>
      </c>
      <c r="N233" s="69"/>
    </row>
    <row r="234" spans="1:14" x14ac:dyDescent="0.2">
      <c r="A234" s="78">
        <v>607</v>
      </c>
      <c r="B234" s="68" t="s">
        <v>1513</v>
      </c>
      <c r="C234" s="1643"/>
      <c r="D234" s="66" t="s">
        <v>1095</v>
      </c>
      <c r="E234" s="38">
        <v>40656</v>
      </c>
      <c r="F234" s="84" t="s">
        <v>682</v>
      </c>
      <c r="G234" s="1654"/>
      <c r="H234" s="1647"/>
      <c r="I234" s="1627"/>
      <c r="J234" s="1646"/>
      <c r="K234" s="1646"/>
      <c r="L234" s="66" t="s">
        <v>1106</v>
      </c>
      <c r="M234" s="68" t="s">
        <v>683</v>
      </c>
      <c r="N234" s="69"/>
    </row>
    <row r="235" spans="1:14" x14ac:dyDescent="0.2">
      <c r="A235" s="78">
        <v>608</v>
      </c>
      <c r="B235" s="68" t="s">
        <v>1514</v>
      </c>
      <c r="C235" s="1641" t="s">
        <v>1102</v>
      </c>
      <c r="D235" s="66" t="s">
        <v>1098</v>
      </c>
      <c r="E235" s="42"/>
      <c r="F235" s="84" t="s">
        <v>683</v>
      </c>
      <c r="G235" s="1654">
        <v>10</v>
      </c>
      <c r="H235" s="1647">
        <v>10</v>
      </c>
      <c r="I235" s="1625">
        <f>COUNTIF(F235:F244,"S")</f>
        <v>0</v>
      </c>
      <c r="J235" s="1644">
        <f>I235/G235</f>
        <v>0</v>
      </c>
      <c r="K235" s="1644">
        <f>IF(I235/H235&gt;1,1,I235/H235)</f>
        <v>0</v>
      </c>
      <c r="L235" s="66" t="s">
        <v>1106</v>
      </c>
      <c r="M235" s="68" t="s">
        <v>683</v>
      </c>
      <c r="N235" s="69"/>
    </row>
    <row r="236" spans="1:14" x14ac:dyDescent="0.2">
      <c r="A236" s="78">
        <v>609</v>
      </c>
      <c r="B236" s="68" t="s">
        <v>1515</v>
      </c>
      <c r="C236" s="1642"/>
      <c r="D236" s="66" t="s">
        <v>1098</v>
      </c>
      <c r="E236" s="42"/>
      <c r="F236" s="84" t="s">
        <v>683</v>
      </c>
      <c r="G236" s="1654"/>
      <c r="H236" s="1647"/>
      <c r="I236" s="1626"/>
      <c r="J236" s="1645"/>
      <c r="K236" s="1645"/>
      <c r="L236" s="66" t="s">
        <v>1106</v>
      </c>
      <c r="M236" s="68" t="s">
        <v>683</v>
      </c>
      <c r="N236" s="69"/>
    </row>
    <row r="237" spans="1:14" x14ac:dyDescent="0.2">
      <c r="A237" s="78">
        <v>610</v>
      </c>
      <c r="B237" s="68" t="s">
        <v>1516</v>
      </c>
      <c r="C237" s="1642"/>
      <c r="D237" s="66" t="s">
        <v>1098</v>
      </c>
      <c r="E237" s="42"/>
      <c r="F237" s="84" t="s">
        <v>683</v>
      </c>
      <c r="G237" s="1654"/>
      <c r="H237" s="1647"/>
      <c r="I237" s="1626"/>
      <c r="J237" s="1645"/>
      <c r="K237" s="1645"/>
      <c r="L237" s="66" t="s">
        <v>1106</v>
      </c>
      <c r="M237" s="68" t="s">
        <v>683</v>
      </c>
      <c r="N237" s="69"/>
    </row>
    <row r="238" spans="1:14" x14ac:dyDescent="0.2">
      <c r="A238" s="78">
        <v>611</v>
      </c>
      <c r="B238" s="68" t="s">
        <v>1517</v>
      </c>
      <c r="C238" s="1642"/>
      <c r="D238" s="66" t="s">
        <v>1098</v>
      </c>
      <c r="E238" s="42"/>
      <c r="F238" s="84" t="s">
        <v>683</v>
      </c>
      <c r="G238" s="1654"/>
      <c r="H238" s="1647"/>
      <c r="I238" s="1626"/>
      <c r="J238" s="1645"/>
      <c r="K238" s="1645"/>
      <c r="L238" s="66" t="s">
        <v>1106</v>
      </c>
      <c r="M238" s="68" t="s">
        <v>683</v>
      </c>
      <c r="N238" s="69"/>
    </row>
    <row r="239" spans="1:14" x14ac:dyDescent="0.2">
      <c r="A239" s="78">
        <v>612</v>
      </c>
      <c r="B239" s="68" t="s">
        <v>1518</v>
      </c>
      <c r="C239" s="1642"/>
      <c r="D239" s="66" t="s">
        <v>1098</v>
      </c>
      <c r="E239" s="42"/>
      <c r="F239" s="84" t="s">
        <v>683</v>
      </c>
      <c r="G239" s="1654"/>
      <c r="H239" s="1647"/>
      <c r="I239" s="1626"/>
      <c r="J239" s="1645"/>
      <c r="K239" s="1645"/>
      <c r="L239" s="66" t="s">
        <v>1106</v>
      </c>
      <c r="M239" s="68" t="s">
        <v>683</v>
      </c>
      <c r="N239" s="69"/>
    </row>
    <row r="240" spans="1:14" x14ac:dyDescent="0.2">
      <c r="A240" s="78">
        <v>613</v>
      </c>
      <c r="B240" s="68" t="s">
        <v>1519</v>
      </c>
      <c r="C240" s="1642"/>
      <c r="D240" s="66" t="s">
        <v>1098</v>
      </c>
      <c r="E240" s="42"/>
      <c r="F240" s="84" t="s">
        <v>683</v>
      </c>
      <c r="G240" s="1654"/>
      <c r="H240" s="1647"/>
      <c r="I240" s="1626"/>
      <c r="J240" s="1645"/>
      <c r="K240" s="1645"/>
      <c r="L240" s="66" t="s">
        <v>1106</v>
      </c>
      <c r="M240" s="68" t="s">
        <v>683</v>
      </c>
      <c r="N240" s="69"/>
    </row>
    <row r="241" spans="1:14" x14ac:dyDescent="0.2">
      <c r="A241" s="78">
        <v>614</v>
      </c>
      <c r="B241" s="68" t="s">
        <v>1520</v>
      </c>
      <c r="C241" s="1642"/>
      <c r="D241" s="66" t="s">
        <v>1098</v>
      </c>
      <c r="E241" s="42"/>
      <c r="F241" s="84" t="s">
        <v>683</v>
      </c>
      <c r="G241" s="1654"/>
      <c r="H241" s="1647"/>
      <c r="I241" s="1626"/>
      <c r="J241" s="1645"/>
      <c r="K241" s="1645"/>
      <c r="L241" s="66" t="s">
        <v>1106</v>
      </c>
      <c r="M241" s="68" t="s">
        <v>683</v>
      </c>
      <c r="N241" s="69"/>
    </row>
    <row r="242" spans="1:14" x14ac:dyDescent="0.2">
      <c r="A242" s="78">
        <v>615</v>
      </c>
      <c r="B242" s="68" t="s">
        <v>1521</v>
      </c>
      <c r="C242" s="1642"/>
      <c r="D242" s="66" t="s">
        <v>1098</v>
      </c>
      <c r="E242" s="42"/>
      <c r="F242" s="84" t="s">
        <v>683</v>
      </c>
      <c r="G242" s="1654"/>
      <c r="H242" s="1647"/>
      <c r="I242" s="1626"/>
      <c r="J242" s="1645"/>
      <c r="K242" s="1645"/>
      <c r="L242" s="66" t="s">
        <v>1106</v>
      </c>
      <c r="M242" s="68" t="s">
        <v>683</v>
      </c>
      <c r="N242" s="69"/>
    </row>
    <row r="243" spans="1:14" x14ac:dyDescent="0.2">
      <c r="A243" s="78">
        <v>616</v>
      </c>
      <c r="B243" s="68" t="s">
        <v>1522</v>
      </c>
      <c r="C243" s="1642"/>
      <c r="D243" s="66" t="s">
        <v>1098</v>
      </c>
      <c r="E243" s="42"/>
      <c r="F243" s="84" t="s">
        <v>683</v>
      </c>
      <c r="G243" s="1654"/>
      <c r="H243" s="1647"/>
      <c r="I243" s="1626"/>
      <c r="J243" s="1645"/>
      <c r="K243" s="1645"/>
      <c r="L243" s="66" t="s">
        <v>1106</v>
      </c>
      <c r="M243" s="68" t="s">
        <v>683</v>
      </c>
      <c r="N243" s="69"/>
    </row>
    <row r="244" spans="1:14" x14ac:dyDescent="0.2">
      <c r="A244" s="78">
        <v>617</v>
      </c>
      <c r="B244" s="68" t="s">
        <v>1523</v>
      </c>
      <c r="C244" s="1643"/>
      <c r="D244" s="66" t="s">
        <v>1098</v>
      </c>
      <c r="E244" s="42"/>
      <c r="F244" s="84" t="s">
        <v>683</v>
      </c>
      <c r="G244" s="1654"/>
      <c r="H244" s="1647"/>
      <c r="I244" s="1627"/>
      <c r="J244" s="1646"/>
      <c r="K244" s="1646"/>
      <c r="L244" s="66" t="s">
        <v>1106</v>
      </c>
      <c r="M244" s="68" t="s">
        <v>683</v>
      </c>
      <c r="N244" s="69"/>
    </row>
    <row r="245" spans="1:14" x14ac:dyDescent="0.2">
      <c r="A245" s="78">
        <v>946</v>
      </c>
      <c r="B245" s="68" t="s">
        <v>1524</v>
      </c>
      <c r="C245" s="1641" t="s">
        <v>1525</v>
      </c>
      <c r="D245" s="66" t="s">
        <v>1052</v>
      </c>
      <c r="E245" s="38">
        <v>40920</v>
      </c>
      <c r="F245" s="84" t="s">
        <v>682</v>
      </c>
      <c r="G245" s="1654">
        <v>15</v>
      </c>
      <c r="H245" s="1647">
        <v>15</v>
      </c>
      <c r="I245" s="1625">
        <f>COUNTIF(F245:F259,"S")</f>
        <v>15</v>
      </c>
      <c r="J245" s="1644">
        <f>I245/G245</f>
        <v>1</v>
      </c>
      <c r="K245" s="1644">
        <f>IF(I245/H245&gt;1,1,I245/H245)</f>
        <v>1</v>
      </c>
      <c r="L245" s="66" t="s">
        <v>1526</v>
      </c>
      <c r="M245" s="68" t="s">
        <v>1527</v>
      </c>
      <c r="N245" s="69"/>
    </row>
    <row r="246" spans="1:14" x14ac:dyDescent="0.2">
      <c r="A246" s="78">
        <v>947</v>
      </c>
      <c r="B246" s="68" t="s">
        <v>1528</v>
      </c>
      <c r="C246" s="1642"/>
      <c r="D246" s="66" t="s">
        <v>1052</v>
      </c>
      <c r="E246" s="38">
        <v>40920</v>
      </c>
      <c r="F246" s="84" t="s">
        <v>682</v>
      </c>
      <c r="G246" s="1654"/>
      <c r="H246" s="1647"/>
      <c r="I246" s="1626"/>
      <c r="J246" s="1645"/>
      <c r="K246" s="1645"/>
      <c r="L246" s="66" t="s">
        <v>1526</v>
      </c>
      <c r="M246" s="68" t="s">
        <v>1529</v>
      </c>
      <c r="N246" s="69"/>
    </row>
    <row r="247" spans="1:14" x14ac:dyDescent="0.2">
      <c r="A247" s="78">
        <v>948</v>
      </c>
      <c r="B247" s="68" t="s">
        <v>1530</v>
      </c>
      <c r="C247" s="1642"/>
      <c r="D247" s="66" t="s">
        <v>1052</v>
      </c>
      <c r="E247" s="38">
        <v>40920</v>
      </c>
      <c r="F247" s="84" t="s">
        <v>682</v>
      </c>
      <c r="G247" s="1654"/>
      <c r="H247" s="1647"/>
      <c r="I247" s="1626"/>
      <c r="J247" s="1645"/>
      <c r="K247" s="1645"/>
      <c r="L247" s="66" t="s">
        <v>1526</v>
      </c>
      <c r="M247" s="68" t="s">
        <v>1531</v>
      </c>
      <c r="N247" s="69"/>
    </row>
    <row r="248" spans="1:14" x14ac:dyDescent="0.2">
      <c r="A248" s="78">
        <v>949</v>
      </c>
      <c r="B248" s="68" t="s">
        <v>1532</v>
      </c>
      <c r="C248" s="1642"/>
      <c r="D248" s="66" t="s">
        <v>1052</v>
      </c>
      <c r="E248" s="38">
        <v>40920</v>
      </c>
      <c r="F248" s="84" t="s">
        <v>682</v>
      </c>
      <c r="G248" s="1654"/>
      <c r="H248" s="1647"/>
      <c r="I248" s="1626"/>
      <c r="J248" s="1645"/>
      <c r="K248" s="1645"/>
      <c r="L248" s="66" t="s">
        <v>1526</v>
      </c>
      <c r="M248" s="68" t="s">
        <v>1533</v>
      </c>
      <c r="N248" s="69"/>
    </row>
    <row r="249" spans="1:14" x14ac:dyDescent="0.2">
      <c r="A249" s="78">
        <v>950</v>
      </c>
      <c r="B249" s="68" t="s">
        <v>1534</v>
      </c>
      <c r="C249" s="1642"/>
      <c r="D249" s="66" t="s">
        <v>1052</v>
      </c>
      <c r="E249" s="38">
        <v>40920</v>
      </c>
      <c r="F249" s="84" t="s">
        <v>682</v>
      </c>
      <c r="G249" s="1654"/>
      <c r="H249" s="1647"/>
      <c r="I249" s="1626"/>
      <c r="J249" s="1645"/>
      <c r="K249" s="1645"/>
      <c r="L249" s="66" t="s">
        <v>1526</v>
      </c>
      <c r="M249" s="68" t="s">
        <v>1535</v>
      </c>
      <c r="N249" s="69"/>
    </row>
    <row r="250" spans="1:14" x14ac:dyDescent="0.2">
      <c r="A250" s="78">
        <v>951</v>
      </c>
      <c r="B250" s="68" t="s">
        <v>1536</v>
      </c>
      <c r="C250" s="1642"/>
      <c r="D250" s="66" t="s">
        <v>1052</v>
      </c>
      <c r="E250" s="38">
        <v>40920</v>
      </c>
      <c r="F250" s="84" t="s">
        <v>682</v>
      </c>
      <c r="G250" s="1654"/>
      <c r="H250" s="1647"/>
      <c r="I250" s="1626"/>
      <c r="J250" s="1645"/>
      <c r="K250" s="1645"/>
      <c r="L250" s="66" t="s">
        <v>1526</v>
      </c>
      <c r="M250" s="68" t="s">
        <v>1537</v>
      </c>
      <c r="N250" s="69"/>
    </row>
    <row r="251" spans="1:14" x14ac:dyDescent="0.2">
      <c r="A251" s="78">
        <v>952</v>
      </c>
      <c r="B251" s="68" t="s">
        <v>1538</v>
      </c>
      <c r="C251" s="1642"/>
      <c r="D251" s="66" t="s">
        <v>1052</v>
      </c>
      <c r="E251" s="38">
        <v>40920</v>
      </c>
      <c r="F251" s="84" t="s">
        <v>682</v>
      </c>
      <c r="G251" s="1654"/>
      <c r="H251" s="1647"/>
      <c r="I251" s="1626"/>
      <c r="J251" s="1645"/>
      <c r="K251" s="1645"/>
      <c r="L251" s="66" t="s">
        <v>1526</v>
      </c>
      <c r="M251" s="68" t="s">
        <v>1539</v>
      </c>
      <c r="N251" s="69"/>
    </row>
    <row r="252" spans="1:14" x14ac:dyDescent="0.2">
      <c r="A252" s="78">
        <v>953</v>
      </c>
      <c r="B252" s="68" t="s">
        <v>1540</v>
      </c>
      <c r="C252" s="1642"/>
      <c r="D252" s="66" t="s">
        <v>1052</v>
      </c>
      <c r="E252" s="38">
        <v>40920</v>
      </c>
      <c r="F252" s="84" t="s">
        <v>682</v>
      </c>
      <c r="G252" s="1654"/>
      <c r="H252" s="1647"/>
      <c r="I252" s="1626"/>
      <c r="J252" s="1645"/>
      <c r="K252" s="1645"/>
      <c r="L252" s="66" t="s">
        <v>1526</v>
      </c>
      <c r="M252" s="68" t="s">
        <v>1541</v>
      </c>
      <c r="N252" s="69"/>
    </row>
    <row r="253" spans="1:14" x14ac:dyDescent="0.2">
      <c r="A253" s="78">
        <v>954</v>
      </c>
      <c r="B253" s="68" t="s">
        <v>1542</v>
      </c>
      <c r="C253" s="1642"/>
      <c r="D253" s="66" t="s">
        <v>1052</v>
      </c>
      <c r="E253" s="38">
        <v>40920</v>
      </c>
      <c r="F253" s="84" t="s">
        <v>682</v>
      </c>
      <c r="G253" s="1654"/>
      <c r="H253" s="1647"/>
      <c r="I253" s="1626"/>
      <c r="J253" s="1645"/>
      <c r="K253" s="1645"/>
      <c r="L253" s="66" t="s">
        <v>1526</v>
      </c>
      <c r="M253" s="68" t="s">
        <v>1543</v>
      </c>
      <c r="N253" s="69"/>
    </row>
    <row r="254" spans="1:14" x14ac:dyDescent="0.2">
      <c r="A254" s="78">
        <v>955</v>
      </c>
      <c r="B254" s="68" t="s">
        <v>1544</v>
      </c>
      <c r="C254" s="1642"/>
      <c r="D254" s="66" t="s">
        <v>1052</v>
      </c>
      <c r="E254" s="38">
        <v>40920</v>
      </c>
      <c r="F254" s="84" t="s">
        <v>682</v>
      </c>
      <c r="G254" s="1654"/>
      <c r="H254" s="1647"/>
      <c r="I254" s="1626"/>
      <c r="J254" s="1645"/>
      <c r="K254" s="1645"/>
      <c r="L254" s="66" t="s">
        <v>1526</v>
      </c>
      <c r="M254" s="68" t="s">
        <v>1545</v>
      </c>
      <c r="N254" s="69"/>
    </row>
    <row r="255" spans="1:14" x14ac:dyDescent="0.2">
      <c r="A255" s="78">
        <v>956</v>
      </c>
      <c r="B255" s="68" t="s">
        <v>1546</v>
      </c>
      <c r="C255" s="1642"/>
      <c r="D255" s="66" t="s">
        <v>1052</v>
      </c>
      <c r="E255" s="38">
        <v>40920</v>
      </c>
      <c r="F255" s="84" t="s">
        <v>682</v>
      </c>
      <c r="G255" s="1654"/>
      <c r="H255" s="1647"/>
      <c r="I255" s="1626"/>
      <c r="J255" s="1645"/>
      <c r="K255" s="1645"/>
      <c r="L255" s="66" t="s">
        <v>1526</v>
      </c>
      <c r="M255" s="68" t="s">
        <v>1547</v>
      </c>
      <c r="N255" s="69"/>
    </row>
    <row r="256" spans="1:14" x14ac:dyDescent="0.2">
      <c r="A256" s="78">
        <v>957</v>
      </c>
      <c r="B256" s="68" t="s">
        <v>1548</v>
      </c>
      <c r="C256" s="1642"/>
      <c r="D256" s="66" t="s">
        <v>1052</v>
      </c>
      <c r="E256" s="38">
        <v>40920</v>
      </c>
      <c r="F256" s="84" t="s">
        <v>682</v>
      </c>
      <c r="G256" s="1654"/>
      <c r="H256" s="1647"/>
      <c r="I256" s="1626"/>
      <c r="J256" s="1645"/>
      <c r="K256" s="1645"/>
      <c r="L256" s="66" t="s">
        <v>1526</v>
      </c>
      <c r="M256" s="68" t="s">
        <v>1549</v>
      </c>
      <c r="N256" s="69"/>
    </row>
    <row r="257" spans="1:14" x14ac:dyDescent="0.2">
      <c r="A257" s="78">
        <v>958</v>
      </c>
      <c r="B257" s="68" t="s">
        <v>1550</v>
      </c>
      <c r="C257" s="1642"/>
      <c r="D257" s="66" t="s">
        <v>1052</v>
      </c>
      <c r="E257" s="38">
        <v>40920</v>
      </c>
      <c r="F257" s="84" t="s">
        <v>682</v>
      </c>
      <c r="G257" s="1654"/>
      <c r="H257" s="1647"/>
      <c r="I257" s="1626"/>
      <c r="J257" s="1645"/>
      <c r="K257" s="1645"/>
      <c r="L257" s="66" t="s">
        <v>1526</v>
      </c>
      <c r="M257" s="68" t="s">
        <v>1551</v>
      </c>
      <c r="N257" s="69"/>
    </row>
    <row r="258" spans="1:14" x14ac:dyDescent="0.2">
      <c r="A258" s="78">
        <v>959</v>
      </c>
      <c r="B258" s="68" t="s">
        <v>1552</v>
      </c>
      <c r="C258" s="1642"/>
      <c r="D258" s="66" t="s">
        <v>1052</v>
      </c>
      <c r="E258" s="38">
        <v>40920</v>
      </c>
      <c r="F258" s="84" t="s">
        <v>682</v>
      </c>
      <c r="G258" s="1654"/>
      <c r="H258" s="1647"/>
      <c r="I258" s="1626"/>
      <c r="J258" s="1645"/>
      <c r="K258" s="1645"/>
      <c r="L258" s="66" t="s">
        <v>1526</v>
      </c>
      <c r="M258" s="68" t="s">
        <v>1553</v>
      </c>
      <c r="N258" s="69"/>
    </row>
    <row r="259" spans="1:14" x14ac:dyDescent="0.2">
      <c r="A259" s="78">
        <v>960</v>
      </c>
      <c r="B259" s="68" t="s">
        <v>1554</v>
      </c>
      <c r="C259" s="1643"/>
      <c r="D259" s="66" t="s">
        <v>1052</v>
      </c>
      <c r="E259" s="38">
        <v>40920</v>
      </c>
      <c r="F259" s="84" t="s">
        <v>682</v>
      </c>
      <c r="G259" s="1654"/>
      <c r="H259" s="1647"/>
      <c r="I259" s="1627"/>
      <c r="J259" s="1646"/>
      <c r="K259" s="1646"/>
      <c r="L259" s="66" t="s">
        <v>1526</v>
      </c>
      <c r="M259" s="68" t="s">
        <v>1555</v>
      </c>
      <c r="N259" s="69"/>
    </row>
    <row r="260" spans="1:14" x14ac:dyDescent="0.2">
      <c r="A260" s="78">
        <v>961</v>
      </c>
      <c r="B260" s="68" t="s">
        <v>1556</v>
      </c>
      <c r="C260" s="1641" t="s">
        <v>1525</v>
      </c>
      <c r="D260" s="66" t="s">
        <v>1056</v>
      </c>
      <c r="E260" s="38">
        <v>40920</v>
      </c>
      <c r="F260" s="84" t="s">
        <v>682</v>
      </c>
      <c r="G260" s="1654">
        <v>15</v>
      </c>
      <c r="H260" s="1647">
        <v>15</v>
      </c>
      <c r="I260" s="1625">
        <f>COUNTIF(F260:F274,"S")</f>
        <v>15</v>
      </c>
      <c r="J260" s="1644">
        <f>I260/G260</f>
        <v>1</v>
      </c>
      <c r="K260" s="1644">
        <f>IF(I260/H260&gt;1,1,I260/H260)</f>
        <v>1</v>
      </c>
      <c r="L260" s="66" t="s">
        <v>1526</v>
      </c>
      <c r="M260" s="68" t="s">
        <v>1557</v>
      </c>
      <c r="N260" s="69"/>
    </row>
    <row r="261" spans="1:14" x14ac:dyDescent="0.2">
      <c r="A261" s="78">
        <v>962</v>
      </c>
      <c r="B261" s="68" t="s">
        <v>1558</v>
      </c>
      <c r="C261" s="1642"/>
      <c r="D261" s="66" t="s">
        <v>1056</v>
      </c>
      <c r="E261" s="38">
        <v>40920</v>
      </c>
      <c r="F261" s="84" t="s">
        <v>682</v>
      </c>
      <c r="G261" s="1654"/>
      <c r="H261" s="1647"/>
      <c r="I261" s="1626"/>
      <c r="J261" s="1645"/>
      <c r="K261" s="1645"/>
      <c r="L261" s="66" t="s">
        <v>1526</v>
      </c>
      <c r="M261" s="68" t="s">
        <v>1559</v>
      </c>
      <c r="N261" s="69"/>
    </row>
    <row r="262" spans="1:14" x14ac:dyDescent="0.2">
      <c r="A262" s="78">
        <v>963</v>
      </c>
      <c r="B262" s="68" t="s">
        <v>1560</v>
      </c>
      <c r="C262" s="1642"/>
      <c r="D262" s="66" t="s">
        <v>1056</v>
      </c>
      <c r="E262" s="38">
        <v>40920</v>
      </c>
      <c r="F262" s="84" t="s">
        <v>682</v>
      </c>
      <c r="G262" s="1654"/>
      <c r="H262" s="1647"/>
      <c r="I262" s="1626"/>
      <c r="J262" s="1645"/>
      <c r="K262" s="1645"/>
      <c r="L262" s="66" t="s">
        <v>1526</v>
      </c>
      <c r="M262" s="68" t="s">
        <v>1561</v>
      </c>
      <c r="N262" s="69"/>
    </row>
    <row r="263" spans="1:14" x14ac:dyDescent="0.2">
      <c r="A263" s="78">
        <v>964</v>
      </c>
      <c r="B263" s="68" t="s">
        <v>1562</v>
      </c>
      <c r="C263" s="1642"/>
      <c r="D263" s="66" t="s">
        <v>1056</v>
      </c>
      <c r="E263" s="38">
        <v>40920</v>
      </c>
      <c r="F263" s="84" t="s">
        <v>682</v>
      </c>
      <c r="G263" s="1654"/>
      <c r="H263" s="1647"/>
      <c r="I263" s="1626"/>
      <c r="J263" s="1645"/>
      <c r="K263" s="1645"/>
      <c r="L263" s="66" t="s">
        <v>1526</v>
      </c>
      <c r="M263" s="68" t="s">
        <v>1563</v>
      </c>
      <c r="N263" s="69"/>
    </row>
    <row r="264" spans="1:14" x14ac:dyDescent="0.2">
      <c r="A264" s="78">
        <v>965</v>
      </c>
      <c r="B264" s="68" t="s">
        <v>1564</v>
      </c>
      <c r="C264" s="1642"/>
      <c r="D264" s="66" t="s">
        <v>1056</v>
      </c>
      <c r="E264" s="38">
        <v>40920</v>
      </c>
      <c r="F264" s="84" t="s">
        <v>682</v>
      </c>
      <c r="G264" s="1654"/>
      <c r="H264" s="1647"/>
      <c r="I264" s="1626"/>
      <c r="J264" s="1645"/>
      <c r="K264" s="1645"/>
      <c r="L264" s="66" t="s">
        <v>1526</v>
      </c>
      <c r="M264" s="68" t="s">
        <v>1565</v>
      </c>
      <c r="N264" s="69"/>
    </row>
    <row r="265" spans="1:14" x14ac:dyDescent="0.2">
      <c r="A265" s="78">
        <v>966</v>
      </c>
      <c r="B265" s="68" t="s">
        <v>1566</v>
      </c>
      <c r="C265" s="1642"/>
      <c r="D265" s="66" t="s">
        <v>1056</v>
      </c>
      <c r="E265" s="38">
        <v>40920</v>
      </c>
      <c r="F265" s="84" t="s">
        <v>682</v>
      </c>
      <c r="G265" s="1654"/>
      <c r="H265" s="1647"/>
      <c r="I265" s="1626"/>
      <c r="J265" s="1645"/>
      <c r="K265" s="1645"/>
      <c r="L265" s="66" t="s">
        <v>1526</v>
      </c>
      <c r="M265" s="68" t="s">
        <v>1567</v>
      </c>
      <c r="N265" s="69"/>
    </row>
    <row r="266" spans="1:14" x14ac:dyDescent="0.2">
      <c r="A266" s="78">
        <v>967</v>
      </c>
      <c r="B266" s="68" t="s">
        <v>1568</v>
      </c>
      <c r="C266" s="1642"/>
      <c r="D266" s="66" t="s">
        <v>1056</v>
      </c>
      <c r="E266" s="38">
        <v>40920</v>
      </c>
      <c r="F266" s="84" t="s">
        <v>682</v>
      </c>
      <c r="G266" s="1654"/>
      <c r="H266" s="1647"/>
      <c r="I266" s="1626"/>
      <c r="J266" s="1645"/>
      <c r="K266" s="1645"/>
      <c r="L266" s="66" t="s">
        <v>1526</v>
      </c>
      <c r="M266" s="68" t="s">
        <v>1569</v>
      </c>
      <c r="N266" s="69"/>
    </row>
    <row r="267" spans="1:14" x14ac:dyDescent="0.2">
      <c r="A267" s="78">
        <v>968</v>
      </c>
      <c r="B267" s="68" t="s">
        <v>1570</v>
      </c>
      <c r="C267" s="1642"/>
      <c r="D267" s="66" t="s">
        <v>1056</v>
      </c>
      <c r="E267" s="38">
        <v>40920</v>
      </c>
      <c r="F267" s="84" t="s">
        <v>682</v>
      </c>
      <c r="G267" s="1654"/>
      <c r="H267" s="1647"/>
      <c r="I267" s="1626"/>
      <c r="J267" s="1645"/>
      <c r="K267" s="1645"/>
      <c r="L267" s="66" t="s">
        <v>1526</v>
      </c>
      <c r="M267" s="68" t="s">
        <v>1571</v>
      </c>
      <c r="N267" s="69"/>
    </row>
    <row r="268" spans="1:14" x14ac:dyDescent="0.2">
      <c r="A268" s="78">
        <v>969</v>
      </c>
      <c r="B268" s="68" t="s">
        <v>1572</v>
      </c>
      <c r="C268" s="1642"/>
      <c r="D268" s="66" t="s">
        <v>1056</v>
      </c>
      <c r="E268" s="38">
        <v>40920</v>
      </c>
      <c r="F268" s="84" t="s">
        <v>682</v>
      </c>
      <c r="G268" s="1654"/>
      <c r="H268" s="1647"/>
      <c r="I268" s="1626"/>
      <c r="J268" s="1645"/>
      <c r="K268" s="1645"/>
      <c r="L268" s="66" t="s">
        <v>1526</v>
      </c>
      <c r="M268" s="68" t="s">
        <v>1573</v>
      </c>
      <c r="N268" s="69"/>
    </row>
    <row r="269" spans="1:14" x14ac:dyDescent="0.2">
      <c r="A269" s="78">
        <v>970</v>
      </c>
      <c r="B269" s="68" t="s">
        <v>1574</v>
      </c>
      <c r="C269" s="1642"/>
      <c r="D269" s="66" t="s">
        <v>1056</v>
      </c>
      <c r="E269" s="38">
        <v>40920</v>
      </c>
      <c r="F269" s="84" t="s">
        <v>682</v>
      </c>
      <c r="G269" s="1654"/>
      <c r="H269" s="1647"/>
      <c r="I269" s="1626"/>
      <c r="J269" s="1645"/>
      <c r="K269" s="1645"/>
      <c r="L269" s="66" t="s">
        <v>1526</v>
      </c>
      <c r="M269" s="68" t="s">
        <v>1575</v>
      </c>
      <c r="N269" s="69"/>
    </row>
    <row r="270" spans="1:14" x14ac:dyDescent="0.2">
      <c r="A270" s="78">
        <v>971</v>
      </c>
      <c r="B270" s="68" t="s">
        <v>1576</v>
      </c>
      <c r="C270" s="1642"/>
      <c r="D270" s="66" t="s">
        <v>1056</v>
      </c>
      <c r="E270" s="38">
        <v>40920</v>
      </c>
      <c r="F270" s="84" t="s">
        <v>682</v>
      </c>
      <c r="G270" s="1654"/>
      <c r="H270" s="1647"/>
      <c r="I270" s="1626"/>
      <c r="J270" s="1645"/>
      <c r="K270" s="1645"/>
      <c r="L270" s="66" t="s">
        <v>1526</v>
      </c>
      <c r="M270" s="68" t="s">
        <v>1577</v>
      </c>
      <c r="N270" s="69"/>
    </row>
    <row r="271" spans="1:14" x14ac:dyDescent="0.2">
      <c r="A271" s="78">
        <v>972</v>
      </c>
      <c r="B271" s="68" t="s">
        <v>1578</v>
      </c>
      <c r="C271" s="1642"/>
      <c r="D271" s="66" t="s">
        <v>1056</v>
      </c>
      <c r="E271" s="38">
        <v>40920</v>
      </c>
      <c r="F271" s="84" t="s">
        <v>682</v>
      </c>
      <c r="G271" s="1654"/>
      <c r="H271" s="1647"/>
      <c r="I271" s="1626"/>
      <c r="J271" s="1645"/>
      <c r="K271" s="1645"/>
      <c r="L271" s="66" t="s">
        <v>1526</v>
      </c>
      <c r="M271" s="68" t="s">
        <v>1579</v>
      </c>
      <c r="N271" s="69"/>
    </row>
    <row r="272" spans="1:14" x14ac:dyDescent="0.2">
      <c r="A272" s="78">
        <v>973</v>
      </c>
      <c r="B272" s="68" t="s">
        <v>1580</v>
      </c>
      <c r="C272" s="1642"/>
      <c r="D272" s="66" t="s">
        <v>1056</v>
      </c>
      <c r="E272" s="38">
        <v>40920</v>
      </c>
      <c r="F272" s="84" t="s">
        <v>682</v>
      </c>
      <c r="G272" s="1654"/>
      <c r="H272" s="1647"/>
      <c r="I272" s="1626"/>
      <c r="J272" s="1645"/>
      <c r="K272" s="1645"/>
      <c r="L272" s="66" t="s">
        <v>1526</v>
      </c>
      <c r="M272" s="68" t="s">
        <v>1581</v>
      </c>
      <c r="N272" s="69"/>
    </row>
    <row r="273" spans="1:14" x14ac:dyDescent="0.2">
      <c r="A273" s="78">
        <v>974</v>
      </c>
      <c r="B273" s="68" t="s">
        <v>1582</v>
      </c>
      <c r="C273" s="1642"/>
      <c r="D273" s="66" t="s">
        <v>1056</v>
      </c>
      <c r="E273" s="38">
        <v>40920</v>
      </c>
      <c r="F273" s="84" t="s">
        <v>682</v>
      </c>
      <c r="G273" s="1654"/>
      <c r="H273" s="1647"/>
      <c r="I273" s="1626"/>
      <c r="J273" s="1645"/>
      <c r="K273" s="1645"/>
      <c r="L273" s="66" t="s">
        <v>1526</v>
      </c>
      <c r="M273" s="68" t="s">
        <v>1583</v>
      </c>
      <c r="N273" s="69"/>
    </row>
    <row r="274" spans="1:14" x14ac:dyDescent="0.2">
      <c r="A274" s="78">
        <v>975</v>
      </c>
      <c r="B274" s="68" t="s">
        <v>1584</v>
      </c>
      <c r="C274" s="1643"/>
      <c r="D274" s="66" t="s">
        <v>1056</v>
      </c>
      <c r="E274" s="38">
        <v>40920</v>
      </c>
      <c r="F274" s="84" t="s">
        <v>682</v>
      </c>
      <c r="G274" s="1654"/>
      <c r="H274" s="1647"/>
      <c r="I274" s="1627"/>
      <c r="J274" s="1646"/>
      <c r="K274" s="1646"/>
      <c r="L274" s="66" t="s">
        <v>1526</v>
      </c>
      <c r="M274" s="68" t="s">
        <v>1585</v>
      </c>
      <c r="N274" s="69"/>
    </row>
    <row r="275" spans="1:14" x14ac:dyDescent="0.2">
      <c r="A275" s="78">
        <v>976</v>
      </c>
      <c r="B275" s="68" t="s">
        <v>1586</v>
      </c>
      <c r="C275" s="1641" t="s">
        <v>1525</v>
      </c>
      <c r="D275" s="66" t="s">
        <v>1058</v>
      </c>
      <c r="E275" s="38">
        <v>40841</v>
      </c>
      <c r="F275" s="84" t="s">
        <v>682</v>
      </c>
      <c r="G275" s="1654">
        <v>15</v>
      </c>
      <c r="H275" s="1647">
        <v>15</v>
      </c>
      <c r="I275" s="1625">
        <f>COUNTIF(F275:F289,"S")</f>
        <v>15</v>
      </c>
      <c r="J275" s="1644">
        <f>I275/G275</f>
        <v>1</v>
      </c>
      <c r="K275" s="1644">
        <f>IF(I275/H275&gt;1,1,I275/H275)</f>
        <v>1</v>
      </c>
      <c r="L275" s="66" t="s">
        <v>1526</v>
      </c>
      <c r="M275" s="68" t="s">
        <v>1587</v>
      </c>
      <c r="N275" s="69"/>
    </row>
    <row r="276" spans="1:14" x14ac:dyDescent="0.2">
      <c r="A276" s="78">
        <v>977</v>
      </c>
      <c r="B276" s="68" t="s">
        <v>1588</v>
      </c>
      <c r="C276" s="1642"/>
      <c r="D276" s="66" t="s">
        <v>1058</v>
      </c>
      <c r="E276" s="38">
        <v>40841</v>
      </c>
      <c r="F276" s="84" t="s">
        <v>682</v>
      </c>
      <c r="G276" s="1654"/>
      <c r="H276" s="1647"/>
      <c r="I276" s="1626"/>
      <c r="J276" s="1645"/>
      <c r="K276" s="1645"/>
      <c r="L276" s="66" t="s">
        <v>1526</v>
      </c>
      <c r="M276" s="68" t="s">
        <v>1589</v>
      </c>
      <c r="N276" s="69"/>
    </row>
    <row r="277" spans="1:14" x14ac:dyDescent="0.2">
      <c r="A277" s="78">
        <v>978</v>
      </c>
      <c r="B277" s="68" t="s">
        <v>1590</v>
      </c>
      <c r="C277" s="1642"/>
      <c r="D277" s="66" t="s">
        <v>1058</v>
      </c>
      <c r="E277" s="38">
        <v>40841</v>
      </c>
      <c r="F277" s="84" t="s">
        <v>682</v>
      </c>
      <c r="G277" s="1654"/>
      <c r="H277" s="1647"/>
      <c r="I277" s="1626"/>
      <c r="J277" s="1645"/>
      <c r="K277" s="1645"/>
      <c r="L277" s="66" t="s">
        <v>1526</v>
      </c>
      <c r="M277" s="68" t="s">
        <v>1591</v>
      </c>
      <c r="N277" s="69"/>
    </row>
    <row r="278" spans="1:14" x14ac:dyDescent="0.2">
      <c r="A278" s="78">
        <v>979</v>
      </c>
      <c r="B278" s="68" t="s">
        <v>1592</v>
      </c>
      <c r="C278" s="1642"/>
      <c r="D278" s="66" t="s">
        <v>1058</v>
      </c>
      <c r="E278" s="38">
        <v>40841</v>
      </c>
      <c r="F278" s="84" t="s">
        <v>682</v>
      </c>
      <c r="G278" s="1654"/>
      <c r="H278" s="1647"/>
      <c r="I278" s="1626"/>
      <c r="J278" s="1645"/>
      <c r="K278" s="1645"/>
      <c r="L278" s="66" t="s">
        <v>1526</v>
      </c>
      <c r="M278" s="68" t="s">
        <v>1593</v>
      </c>
      <c r="N278" s="69"/>
    </row>
    <row r="279" spans="1:14" x14ac:dyDescent="0.2">
      <c r="A279" s="78">
        <v>980</v>
      </c>
      <c r="B279" s="68" t="s">
        <v>1594</v>
      </c>
      <c r="C279" s="1642"/>
      <c r="D279" s="66" t="s">
        <v>1058</v>
      </c>
      <c r="E279" s="38">
        <v>40841</v>
      </c>
      <c r="F279" s="84" t="s">
        <v>682</v>
      </c>
      <c r="G279" s="1654"/>
      <c r="H279" s="1647"/>
      <c r="I279" s="1626"/>
      <c r="J279" s="1645"/>
      <c r="K279" s="1645"/>
      <c r="L279" s="66" t="s">
        <v>1526</v>
      </c>
      <c r="M279" s="68" t="s">
        <v>1595</v>
      </c>
      <c r="N279" s="69"/>
    </row>
    <row r="280" spans="1:14" x14ac:dyDescent="0.2">
      <c r="A280" s="78">
        <v>981</v>
      </c>
      <c r="B280" s="68" t="s">
        <v>1596</v>
      </c>
      <c r="C280" s="1642"/>
      <c r="D280" s="66" t="s">
        <v>1058</v>
      </c>
      <c r="E280" s="38">
        <v>40841</v>
      </c>
      <c r="F280" s="84" t="s">
        <v>682</v>
      </c>
      <c r="G280" s="1654"/>
      <c r="H280" s="1647"/>
      <c r="I280" s="1626"/>
      <c r="J280" s="1645"/>
      <c r="K280" s="1645"/>
      <c r="L280" s="66" t="s">
        <v>1526</v>
      </c>
      <c r="M280" s="68" t="s">
        <v>1597</v>
      </c>
      <c r="N280" s="69"/>
    </row>
    <row r="281" spans="1:14" x14ac:dyDescent="0.2">
      <c r="A281" s="78">
        <v>982</v>
      </c>
      <c r="B281" s="68" t="s">
        <v>1598</v>
      </c>
      <c r="C281" s="1642"/>
      <c r="D281" s="66" t="s">
        <v>1058</v>
      </c>
      <c r="E281" s="38">
        <v>40841</v>
      </c>
      <c r="F281" s="84" t="s">
        <v>682</v>
      </c>
      <c r="G281" s="1654"/>
      <c r="H281" s="1647"/>
      <c r="I281" s="1626"/>
      <c r="J281" s="1645"/>
      <c r="K281" s="1645"/>
      <c r="L281" s="66" t="s">
        <v>1526</v>
      </c>
      <c r="M281" s="68" t="s">
        <v>1599</v>
      </c>
      <c r="N281" s="69"/>
    </row>
    <row r="282" spans="1:14" x14ac:dyDescent="0.2">
      <c r="A282" s="78">
        <v>983</v>
      </c>
      <c r="B282" s="68" t="s">
        <v>1600</v>
      </c>
      <c r="C282" s="1642"/>
      <c r="D282" s="66" t="s">
        <v>1058</v>
      </c>
      <c r="E282" s="38">
        <v>40841</v>
      </c>
      <c r="F282" s="84" t="s">
        <v>682</v>
      </c>
      <c r="G282" s="1654"/>
      <c r="H282" s="1647"/>
      <c r="I282" s="1626"/>
      <c r="J282" s="1645"/>
      <c r="K282" s="1645"/>
      <c r="L282" s="66" t="s">
        <v>1526</v>
      </c>
      <c r="M282" s="68" t="s">
        <v>1601</v>
      </c>
      <c r="N282" s="69"/>
    </row>
    <row r="283" spans="1:14" x14ac:dyDescent="0.2">
      <c r="A283" s="78">
        <v>984</v>
      </c>
      <c r="B283" s="68" t="s">
        <v>1602</v>
      </c>
      <c r="C283" s="1642"/>
      <c r="D283" s="66" t="s">
        <v>1058</v>
      </c>
      <c r="E283" s="38">
        <v>40841</v>
      </c>
      <c r="F283" s="84" t="s">
        <v>682</v>
      </c>
      <c r="G283" s="1654"/>
      <c r="H283" s="1647"/>
      <c r="I283" s="1626"/>
      <c r="J283" s="1645"/>
      <c r="K283" s="1645"/>
      <c r="L283" s="66" t="s">
        <v>1526</v>
      </c>
      <c r="M283" s="68" t="s">
        <v>1603</v>
      </c>
      <c r="N283" s="69"/>
    </row>
    <row r="284" spans="1:14" x14ac:dyDescent="0.2">
      <c r="A284" s="78">
        <v>985</v>
      </c>
      <c r="B284" s="68" t="s">
        <v>1604</v>
      </c>
      <c r="C284" s="1642"/>
      <c r="D284" s="66" t="s">
        <v>1058</v>
      </c>
      <c r="E284" s="38">
        <v>40841</v>
      </c>
      <c r="F284" s="84" t="s">
        <v>682</v>
      </c>
      <c r="G284" s="1654"/>
      <c r="H284" s="1647"/>
      <c r="I284" s="1626"/>
      <c r="J284" s="1645"/>
      <c r="K284" s="1645"/>
      <c r="L284" s="66" t="s">
        <v>1526</v>
      </c>
      <c r="M284" s="68" t="s">
        <v>1605</v>
      </c>
      <c r="N284" s="69"/>
    </row>
    <row r="285" spans="1:14" x14ac:dyDescent="0.2">
      <c r="A285" s="78">
        <v>986</v>
      </c>
      <c r="B285" s="68" t="s">
        <v>1606</v>
      </c>
      <c r="C285" s="1642"/>
      <c r="D285" s="66" t="s">
        <v>1058</v>
      </c>
      <c r="E285" s="38">
        <v>40841</v>
      </c>
      <c r="F285" s="84" t="s">
        <v>682</v>
      </c>
      <c r="G285" s="1654"/>
      <c r="H285" s="1647"/>
      <c r="I285" s="1626"/>
      <c r="J285" s="1645"/>
      <c r="K285" s="1645"/>
      <c r="L285" s="66" t="s">
        <v>1526</v>
      </c>
      <c r="M285" s="68" t="s">
        <v>1607</v>
      </c>
      <c r="N285" s="69"/>
    </row>
    <row r="286" spans="1:14" x14ac:dyDescent="0.2">
      <c r="A286" s="78">
        <v>987</v>
      </c>
      <c r="B286" s="68" t="s">
        <v>1608</v>
      </c>
      <c r="C286" s="1642"/>
      <c r="D286" s="66" t="s">
        <v>1058</v>
      </c>
      <c r="E286" s="38">
        <v>40841</v>
      </c>
      <c r="F286" s="84" t="s">
        <v>682</v>
      </c>
      <c r="G286" s="1654"/>
      <c r="H286" s="1647"/>
      <c r="I286" s="1626"/>
      <c r="J286" s="1645"/>
      <c r="K286" s="1645"/>
      <c r="L286" s="66" t="s">
        <v>1526</v>
      </c>
      <c r="M286" s="68" t="s">
        <v>1609</v>
      </c>
      <c r="N286" s="69"/>
    </row>
    <row r="287" spans="1:14" x14ac:dyDescent="0.2">
      <c r="A287" s="78">
        <v>988</v>
      </c>
      <c r="B287" s="68" t="s">
        <v>1610</v>
      </c>
      <c r="C287" s="1642"/>
      <c r="D287" s="66" t="s">
        <v>1058</v>
      </c>
      <c r="E287" s="38">
        <v>40841</v>
      </c>
      <c r="F287" s="84" t="s">
        <v>682</v>
      </c>
      <c r="G287" s="1654"/>
      <c r="H287" s="1647"/>
      <c r="I287" s="1626"/>
      <c r="J287" s="1645"/>
      <c r="K287" s="1645"/>
      <c r="L287" s="66" t="s">
        <v>1526</v>
      </c>
      <c r="M287" s="68" t="s">
        <v>1611</v>
      </c>
      <c r="N287" s="69"/>
    </row>
    <row r="288" spans="1:14" x14ac:dyDescent="0.2">
      <c r="A288" s="78">
        <v>989</v>
      </c>
      <c r="B288" s="68" t="s">
        <v>1612</v>
      </c>
      <c r="C288" s="1642"/>
      <c r="D288" s="66" t="s">
        <v>1058</v>
      </c>
      <c r="E288" s="38">
        <v>40841</v>
      </c>
      <c r="F288" s="84" t="s">
        <v>682</v>
      </c>
      <c r="G288" s="1654"/>
      <c r="H288" s="1647"/>
      <c r="I288" s="1626"/>
      <c r="J288" s="1645"/>
      <c r="K288" s="1645"/>
      <c r="L288" s="66" t="s">
        <v>1526</v>
      </c>
      <c r="M288" s="68" t="s">
        <v>1613</v>
      </c>
      <c r="N288" s="69"/>
    </row>
    <row r="289" spans="1:14" x14ac:dyDescent="0.2">
      <c r="A289" s="78">
        <v>990</v>
      </c>
      <c r="B289" s="68" t="s">
        <v>1614</v>
      </c>
      <c r="C289" s="1643"/>
      <c r="D289" s="66" t="s">
        <v>1058</v>
      </c>
      <c r="E289" s="38">
        <v>40841</v>
      </c>
      <c r="F289" s="84" t="s">
        <v>682</v>
      </c>
      <c r="G289" s="1654"/>
      <c r="H289" s="1647"/>
      <c r="I289" s="1627"/>
      <c r="J289" s="1646"/>
      <c r="K289" s="1646"/>
      <c r="L289" s="66" t="s">
        <v>1526</v>
      </c>
      <c r="M289" s="68" t="s">
        <v>1615</v>
      </c>
      <c r="N289" s="69"/>
    </row>
    <row r="290" spans="1:14" x14ac:dyDescent="0.2">
      <c r="A290" s="78">
        <v>991</v>
      </c>
      <c r="B290" s="68" t="s">
        <v>1616</v>
      </c>
      <c r="C290" s="1641" t="s">
        <v>1525</v>
      </c>
      <c r="D290" s="66" t="s">
        <v>1060</v>
      </c>
      <c r="E290" s="38">
        <v>40841</v>
      </c>
      <c r="F290" s="84" t="s">
        <v>682</v>
      </c>
      <c r="G290" s="1654">
        <v>15</v>
      </c>
      <c r="H290" s="1647">
        <v>15</v>
      </c>
      <c r="I290" s="1625">
        <f>COUNTIF(F290:F304,"S")</f>
        <v>15</v>
      </c>
      <c r="J290" s="1644">
        <f>I290/G290</f>
        <v>1</v>
      </c>
      <c r="K290" s="1644">
        <f>IF(I290/H290&gt;1,1,I290/H290)</f>
        <v>1</v>
      </c>
      <c r="L290" s="66" t="s">
        <v>1526</v>
      </c>
      <c r="M290" s="68" t="s">
        <v>1617</v>
      </c>
      <c r="N290" s="69"/>
    </row>
    <row r="291" spans="1:14" x14ac:dyDescent="0.2">
      <c r="A291" s="78">
        <v>992</v>
      </c>
      <c r="B291" s="68" t="s">
        <v>1618</v>
      </c>
      <c r="C291" s="1642"/>
      <c r="D291" s="66" t="s">
        <v>1060</v>
      </c>
      <c r="E291" s="38">
        <v>40841</v>
      </c>
      <c r="F291" s="84" t="s">
        <v>682</v>
      </c>
      <c r="G291" s="1654"/>
      <c r="H291" s="1647"/>
      <c r="I291" s="1626"/>
      <c r="J291" s="1645"/>
      <c r="K291" s="1645"/>
      <c r="L291" s="66" t="s">
        <v>1526</v>
      </c>
      <c r="M291" s="68" t="s">
        <v>1619</v>
      </c>
      <c r="N291" s="69"/>
    </row>
    <row r="292" spans="1:14" x14ac:dyDescent="0.2">
      <c r="A292" s="78">
        <v>993</v>
      </c>
      <c r="B292" s="68" t="s">
        <v>1620</v>
      </c>
      <c r="C292" s="1642"/>
      <c r="D292" s="66" t="s">
        <v>1060</v>
      </c>
      <c r="E292" s="38">
        <v>40841</v>
      </c>
      <c r="F292" s="84" t="s">
        <v>682</v>
      </c>
      <c r="G292" s="1654"/>
      <c r="H292" s="1647"/>
      <c r="I292" s="1626"/>
      <c r="J292" s="1645"/>
      <c r="K292" s="1645"/>
      <c r="L292" s="66" t="s">
        <v>1526</v>
      </c>
      <c r="M292" s="68" t="s">
        <v>1621</v>
      </c>
      <c r="N292" s="69"/>
    </row>
    <row r="293" spans="1:14" x14ac:dyDescent="0.2">
      <c r="A293" s="78">
        <v>994</v>
      </c>
      <c r="B293" s="68" t="s">
        <v>1622</v>
      </c>
      <c r="C293" s="1642"/>
      <c r="D293" s="66" t="s">
        <v>1060</v>
      </c>
      <c r="E293" s="38">
        <v>40841</v>
      </c>
      <c r="F293" s="84" t="s">
        <v>682</v>
      </c>
      <c r="G293" s="1654"/>
      <c r="H293" s="1647"/>
      <c r="I293" s="1626"/>
      <c r="J293" s="1645"/>
      <c r="K293" s="1645"/>
      <c r="L293" s="66" t="s">
        <v>1526</v>
      </c>
      <c r="M293" s="68" t="s">
        <v>1623</v>
      </c>
      <c r="N293" s="69"/>
    </row>
    <row r="294" spans="1:14" x14ac:dyDescent="0.2">
      <c r="A294" s="78">
        <v>995</v>
      </c>
      <c r="B294" s="68" t="s">
        <v>1624</v>
      </c>
      <c r="C294" s="1642"/>
      <c r="D294" s="66" t="s">
        <v>1060</v>
      </c>
      <c r="E294" s="38">
        <v>40841</v>
      </c>
      <c r="F294" s="84" t="s">
        <v>682</v>
      </c>
      <c r="G294" s="1654"/>
      <c r="H294" s="1647"/>
      <c r="I294" s="1626"/>
      <c r="J294" s="1645"/>
      <c r="K294" s="1645"/>
      <c r="L294" s="66" t="s">
        <v>1526</v>
      </c>
      <c r="M294" s="68" t="s">
        <v>1625</v>
      </c>
      <c r="N294" s="69"/>
    </row>
    <row r="295" spans="1:14" x14ac:dyDescent="0.2">
      <c r="A295" s="78">
        <v>996</v>
      </c>
      <c r="B295" s="68" t="s">
        <v>1626</v>
      </c>
      <c r="C295" s="1642"/>
      <c r="D295" s="66" t="s">
        <v>1060</v>
      </c>
      <c r="E295" s="38">
        <v>40841</v>
      </c>
      <c r="F295" s="84" t="s">
        <v>682</v>
      </c>
      <c r="G295" s="1654"/>
      <c r="H295" s="1647"/>
      <c r="I295" s="1626"/>
      <c r="J295" s="1645"/>
      <c r="K295" s="1645"/>
      <c r="L295" s="66" t="s">
        <v>1526</v>
      </c>
      <c r="M295" s="68" t="s">
        <v>1627</v>
      </c>
      <c r="N295" s="69"/>
    </row>
    <row r="296" spans="1:14" x14ac:dyDescent="0.2">
      <c r="A296" s="78">
        <v>997</v>
      </c>
      <c r="B296" s="68" t="s">
        <v>1628</v>
      </c>
      <c r="C296" s="1642"/>
      <c r="D296" s="66" t="s">
        <v>1060</v>
      </c>
      <c r="E296" s="38">
        <v>40841</v>
      </c>
      <c r="F296" s="84" t="s">
        <v>682</v>
      </c>
      <c r="G296" s="1654"/>
      <c r="H296" s="1647"/>
      <c r="I296" s="1626"/>
      <c r="J296" s="1645"/>
      <c r="K296" s="1645"/>
      <c r="L296" s="66" t="s">
        <v>1526</v>
      </c>
      <c r="M296" s="68" t="s">
        <v>1629</v>
      </c>
      <c r="N296" s="69"/>
    </row>
    <row r="297" spans="1:14" x14ac:dyDescent="0.2">
      <c r="A297" s="78">
        <v>998</v>
      </c>
      <c r="B297" s="68" t="s">
        <v>1630</v>
      </c>
      <c r="C297" s="1642"/>
      <c r="D297" s="66" t="s">
        <v>1060</v>
      </c>
      <c r="E297" s="38">
        <v>40841</v>
      </c>
      <c r="F297" s="84" t="s">
        <v>682</v>
      </c>
      <c r="G297" s="1654"/>
      <c r="H297" s="1647"/>
      <c r="I297" s="1626"/>
      <c r="J297" s="1645"/>
      <c r="K297" s="1645"/>
      <c r="L297" s="66" t="s">
        <v>1526</v>
      </c>
      <c r="M297" s="68" t="s">
        <v>1631</v>
      </c>
      <c r="N297" s="69"/>
    </row>
    <row r="298" spans="1:14" x14ac:dyDescent="0.2">
      <c r="A298" s="78">
        <v>999</v>
      </c>
      <c r="B298" s="68" t="s">
        <v>1632</v>
      </c>
      <c r="C298" s="1642"/>
      <c r="D298" s="66" t="s">
        <v>1060</v>
      </c>
      <c r="E298" s="38">
        <v>40841</v>
      </c>
      <c r="F298" s="84" t="s">
        <v>682</v>
      </c>
      <c r="G298" s="1654"/>
      <c r="H298" s="1647"/>
      <c r="I298" s="1626"/>
      <c r="J298" s="1645"/>
      <c r="K298" s="1645"/>
      <c r="L298" s="66" t="s">
        <v>1526</v>
      </c>
      <c r="M298" s="68" t="s">
        <v>1633</v>
      </c>
      <c r="N298" s="69"/>
    </row>
    <row r="299" spans="1:14" x14ac:dyDescent="0.2">
      <c r="A299" s="78">
        <v>1000</v>
      </c>
      <c r="B299" s="68" t="s">
        <v>1634</v>
      </c>
      <c r="C299" s="1642"/>
      <c r="D299" s="66" t="s">
        <v>1060</v>
      </c>
      <c r="E299" s="38">
        <v>40841</v>
      </c>
      <c r="F299" s="84" t="s">
        <v>682</v>
      </c>
      <c r="G299" s="1654"/>
      <c r="H299" s="1647"/>
      <c r="I299" s="1626"/>
      <c r="J299" s="1645"/>
      <c r="K299" s="1645"/>
      <c r="L299" s="66" t="s">
        <v>1526</v>
      </c>
      <c r="M299" s="68" t="s">
        <v>1635</v>
      </c>
      <c r="N299" s="69"/>
    </row>
    <row r="300" spans="1:14" x14ac:dyDescent="0.2">
      <c r="A300" s="78">
        <v>1001</v>
      </c>
      <c r="B300" s="68" t="s">
        <v>1636</v>
      </c>
      <c r="C300" s="1642"/>
      <c r="D300" s="66" t="s">
        <v>1060</v>
      </c>
      <c r="E300" s="38">
        <v>40841</v>
      </c>
      <c r="F300" s="84" t="s">
        <v>682</v>
      </c>
      <c r="G300" s="1654"/>
      <c r="H300" s="1647"/>
      <c r="I300" s="1626"/>
      <c r="J300" s="1645"/>
      <c r="K300" s="1645"/>
      <c r="L300" s="66" t="s">
        <v>1526</v>
      </c>
      <c r="M300" s="68" t="s">
        <v>1637</v>
      </c>
      <c r="N300" s="69"/>
    </row>
    <row r="301" spans="1:14" x14ac:dyDescent="0.2">
      <c r="A301" s="78">
        <v>1002</v>
      </c>
      <c r="B301" s="68" t="s">
        <v>1638</v>
      </c>
      <c r="C301" s="1642"/>
      <c r="D301" s="66" t="s">
        <v>1060</v>
      </c>
      <c r="E301" s="38">
        <v>40841</v>
      </c>
      <c r="F301" s="84" t="s">
        <v>682</v>
      </c>
      <c r="G301" s="1654"/>
      <c r="H301" s="1647"/>
      <c r="I301" s="1626"/>
      <c r="J301" s="1645"/>
      <c r="K301" s="1645"/>
      <c r="L301" s="66" t="s">
        <v>1526</v>
      </c>
      <c r="M301" s="68" t="s">
        <v>1639</v>
      </c>
      <c r="N301" s="69"/>
    </row>
    <row r="302" spans="1:14" x14ac:dyDescent="0.2">
      <c r="A302" s="78">
        <v>1003</v>
      </c>
      <c r="B302" s="68" t="s">
        <v>1640</v>
      </c>
      <c r="C302" s="1642"/>
      <c r="D302" s="66" t="s">
        <v>1060</v>
      </c>
      <c r="E302" s="38">
        <v>40841</v>
      </c>
      <c r="F302" s="84" t="s">
        <v>682</v>
      </c>
      <c r="G302" s="1654"/>
      <c r="H302" s="1647"/>
      <c r="I302" s="1626"/>
      <c r="J302" s="1645"/>
      <c r="K302" s="1645"/>
      <c r="L302" s="66" t="s">
        <v>1526</v>
      </c>
      <c r="M302" s="68" t="s">
        <v>1641</v>
      </c>
      <c r="N302" s="69"/>
    </row>
    <row r="303" spans="1:14" x14ac:dyDescent="0.2">
      <c r="A303" s="78">
        <v>1004</v>
      </c>
      <c r="B303" s="68" t="s">
        <v>1642</v>
      </c>
      <c r="C303" s="1642"/>
      <c r="D303" s="66" t="s">
        <v>1060</v>
      </c>
      <c r="E303" s="38">
        <v>40841</v>
      </c>
      <c r="F303" s="84" t="s">
        <v>682</v>
      </c>
      <c r="G303" s="1654"/>
      <c r="H303" s="1647"/>
      <c r="I303" s="1626"/>
      <c r="J303" s="1645"/>
      <c r="K303" s="1645"/>
      <c r="L303" s="66" t="s">
        <v>1526</v>
      </c>
      <c r="M303" s="68" t="s">
        <v>1643</v>
      </c>
      <c r="N303" s="69"/>
    </row>
    <row r="304" spans="1:14" x14ac:dyDescent="0.2">
      <c r="A304" s="78">
        <v>1005</v>
      </c>
      <c r="B304" s="68" t="s">
        <v>1644</v>
      </c>
      <c r="C304" s="1643"/>
      <c r="D304" s="66" t="s">
        <v>1060</v>
      </c>
      <c r="E304" s="38">
        <v>40841</v>
      </c>
      <c r="F304" s="84" t="s">
        <v>682</v>
      </c>
      <c r="G304" s="1654"/>
      <c r="H304" s="1647"/>
      <c r="I304" s="1627"/>
      <c r="J304" s="1646"/>
      <c r="K304" s="1646"/>
      <c r="L304" s="66" t="s">
        <v>1526</v>
      </c>
      <c r="M304" s="68" t="s">
        <v>1645</v>
      </c>
      <c r="N304" s="69"/>
    </row>
    <row r="305" spans="1:14" x14ac:dyDescent="0.2">
      <c r="A305" s="78">
        <v>1006</v>
      </c>
      <c r="B305" s="68" t="s">
        <v>1646</v>
      </c>
      <c r="C305" s="1641" t="s">
        <v>1525</v>
      </c>
      <c r="D305" s="66" t="s">
        <v>1062</v>
      </c>
      <c r="E305" s="38">
        <v>40841</v>
      </c>
      <c r="F305" s="84" t="s">
        <v>682</v>
      </c>
      <c r="G305" s="1654">
        <v>15</v>
      </c>
      <c r="H305" s="1647">
        <v>15</v>
      </c>
      <c r="I305" s="1625">
        <f>COUNTIF(F305:F319,"S")</f>
        <v>15</v>
      </c>
      <c r="J305" s="1644">
        <f>I305/G305</f>
        <v>1</v>
      </c>
      <c r="K305" s="1644">
        <f>IF(I305/H305&gt;1,1,I305/H305)</f>
        <v>1</v>
      </c>
      <c r="L305" s="66" t="s">
        <v>1526</v>
      </c>
      <c r="M305" s="68" t="s">
        <v>1647</v>
      </c>
      <c r="N305" s="69"/>
    </row>
    <row r="306" spans="1:14" x14ac:dyDescent="0.2">
      <c r="A306" s="78">
        <v>1007</v>
      </c>
      <c r="B306" s="68" t="s">
        <v>1648</v>
      </c>
      <c r="C306" s="1642"/>
      <c r="D306" s="66" t="s">
        <v>1062</v>
      </c>
      <c r="E306" s="38">
        <v>40841</v>
      </c>
      <c r="F306" s="84" t="s">
        <v>682</v>
      </c>
      <c r="G306" s="1654"/>
      <c r="H306" s="1647"/>
      <c r="I306" s="1626"/>
      <c r="J306" s="1645"/>
      <c r="K306" s="1645"/>
      <c r="L306" s="66" t="s">
        <v>1526</v>
      </c>
      <c r="M306" s="68" t="s">
        <v>1649</v>
      </c>
      <c r="N306" s="69"/>
    </row>
    <row r="307" spans="1:14" x14ac:dyDescent="0.2">
      <c r="A307" s="78">
        <v>1008</v>
      </c>
      <c r="B307" s="68" t="s">
        <v>1650</v>
      </c>
      <c r="C307" s="1642"/>
      <c r="D307" s="66" t="s">
        <v>1062</v>
      </c>
      <c r="E307" s="38">
        <v>40841</v>
      </c>
      <c r="F307" s="84" t="s">
        <v>682</v>
      </c>
      <c r="G307" s="1654"/>
      <c r="H307" s="1647"/>
      <c r="I307" s="1626"/>
      <c r="J307" s="1645"/>
      <c r="K307" s="1645"/>
      <c r="L307" s="66" t="s">
        <v>1526</v>
      </c>
      <c r="M307" s="68" t="s">
        <v>1651</v>
      </c>
      <c r="N307" s="69"/>
    </row>
    <row r="308" spans="1:14" x14ac:dyDescent="0.2">
      <c r="A308" s="78">
        <v>1009</v>
      </c>
      <c r="B308" s="68" t="s">
        <v>1652</v>
      </c>
      <c r="C308" s="1642"/>
      <c r="D308" s="66" t="s">
        <v>1062</v>
      </c>
      <c r="E308" s="38">
        <v>40841</v>
      </c>
      <c r="F308" s="84" t="s">
        <v>682</v>
      </c>
      <c r="G308" s="1654"/>
      <c r="H308" s="1647"/>
      <c r="I308" s="1626"/>
      <c r="J308" s="1645"/>
      <c r="K308" s="1645"/>
      <c r="L308" s="66" t="s">
        <v>1526</v>
      </c>
      <c r="M308" s="68" t="s">
        <v>1653</v>
      </c>
      <c r="N308" s="69"/>
    </row>
    <row r="309" spans="1:14" x14ac:dyDescent="0.2">
      <c r="A309" s="78">
        <v>1010</v>
      </c>
      <c r="B309" s="68" t="s">
        <v>1654</v>
      </c>
      <c r="C309" s="1642"/>
      <c r="D309" s="66" t="s">
        <v>1062</v>
      </c>
      <c r="E309" s="38">
        <v>40841</v>
      </c>
      <c r="F309" s="84" t="s">
        <v>682</v>
      </c>
      <c r="G309" s="1654"/>
      <c r="H309" s="1647"/>
      <c r="I309" s="1626"/>
      <c r="J309" s="1645"/>
      <c r="K309" s="1645"/>
      <c r="L309" s="66" t="s">
        <v>1526</v>
      </c>
      <c r="M309" s="68" t="s">
        <v>1655</v>
      </c>
      <c r="N309" s="69"/>
    </row>
    <row r="310" spans="1:14" x14ac:dyDescent="0.2">
      <c r="A310" s="78">
        <v>1011</v>
      </c>
      <c r="B310" s="68" t="s">
        <v>1656</v>
      </c>
      <c r="C310" s="1642"/>
      <c r="D310" s="66" t="s">
        <v>1062</v>
      </c>
      <c r="E310" s="38">
        <v>40841</v>
      </c>
      <c r="F310" s="84" t="s">
        <v>682</v>
      </c>
      <c r="G310" s="1654"/>
      <c r="H310" s="1647"/>
      <c r="I310" s="1626"/>
      <c r="J310" s="1645"/>
      <c r="K310" s="1645"/>
      <c r="L310" s="66" t="s">
        <v>1526</v>
      </c>
      <c r="M310" s="68" t="s">
        <v>1657</v>
      </c>
      <c r="N310" s="69"/>
    </row>
    <row r="311" spans="1:14" x14ac:dyDescent="0.2">
      <c r="A311" s="78">
        <v>1012</v>
      </c>
      <c r="B311" s="68" t="s">
        <v>1658</v>
      </c>
      <c r="C311" s="1642"/>
      <c r="D311" s="66" t="s">
        <v>1062</v>
      </c>
      <c r="E311" s="38">
        <v>40841</v>
      </c>
      <c r="F311" s="84" t="s">
        <v>682</v>
      </c>
      <c r="G311" s="1654"/>
      <c r="H311" s="1647"/>
      <c r="I311" s="1626"/>
      <c r="J311" s="1645"/>
      <c r="K311" s="1645"/>
      <c r="L311" s="66" t="s">
        <v>1526</v>
      </c>
      <c r="M311" s="68" t="s">
        <v>1659</v>
      </c>
      <c r="N311" s="69"/>
    </row>
    <row r="312" spans="1:14" x14ac:dyDescent="0.2">
      <c r="A312" s="78">
        <v>1013</v>
      </c>
      <c r="B312" s="68" t="s">
        <v>1660</v>
      </c>
      <c r="C312" s="1642"/>
      <c r="D312" s="66" t="s">
        <v>1062</v>
      </c>
      <c r="E312" s="38">
        <v>40841</v>
      </c>
      <c r="F312" s="84" t="s">
        <v>682</v>
      </c>
      <c r="G312" s="1654"/>
      <c r="H312" s="1647"/>
      <c r="I312" s="1626"/>
      <c r="J312" s="1645"/>
      <c r="K312" s="1645"/>
      <c r="L312" s="66" t="s">
        <v>1526</v>
      </c>
      <c r="M312" s="68" t="s">
        <v>1661</v>
      </c>
      <c r="N312" s="69"/>
    </row>
    <row r="313" spans="1:14" x14ac:dyDescent="0.2">
      <c r="A313" s="78">
        <v>1014</v>
      </c>
      <c r="B313" s="68" t="s">
        <v>1662</v>
      </c>
      <c r="C313" s="1642"/>
      <c r="D313" s="66" t="s">
        <v>1062</v>
      </c>
      <c r="E313" s="38">
        <v>40841</v>
      </c>
      <c r="F313" s="84" t="s">
        <v>682</v>
      </c>
      <c r="G313" s="1654"/>
      <c r="H313" s="1647"/>
      <c r="I313" s="1626"/>
      <c r="J313" s="1645"/>
      <c r="K313" s="1645"/>
      <c r="L313" s="66" t="s">
        <v>1526</v>
      </c>
      <c r="M313" s="68" t="s">
        <v>1663</v>
      </c>
      <c r="N313" s="69"/>
    </row>
    <row r="314" spans="1:14" x14ac:dyDescent="0.2">
      <c r="A314" s="78">
        <v>1015</v>
      </c>
      <c r="B314" s="68" t="s">
        <v>1664</v>
      </c>
      <c r="C314" s="1642"/>
      <c r="D314" s="66" t="s">
        <v>1062</v>
      </c>
      <c r="E314" s="38">
        <v>40841</v>
      </c>
      <c r="F314" s="84" t="s">
        <v>682</v>
      </c>
      <c r="G314" s="1654"/>
      <c r="H314" s="1647"/>
      <c r="I314" s="1626"/>
      <c r="J314" s="1645"/>
      <c r="K314" s="1645"/>
      <c r="L314" s="66" t="s">
        <v>1526</v>
      </c>
      <c r="M314" s="68" t="s">
        <v>1665</v>
      </c>
      <c r="N314" s="69"/>
    </row>
    <row r="315" spans="1:14" x14ac:dyDescent="0.2">
      <c r="A315" s="78">
        <v>1016</v>
      </c>
      <c r="B315" s="68" t="s">
        <v>1666</v>
      </c>
      <c r="C315" s="1642"/>
      <c r="D315" s="66" t="s">
        <v>1062</v>
      </c>
      <c r="E315" s="38">
        <v>40841</v>
      </c>
      <c r="F315" s="84" t="s">
        <v>682</v>
      </c>
      <c r="G315" s="1654"/>
      <c r="H315" s="1647"/>
      <c r="I315" s="1626"/>
      <c r="J315" s="1645"/>
      <c r="K315" s="1645"/>
      <c r="L315" s="66" t="s">
        <v>1526</v>
      </c>
      <c r="M315" s="68" t="s">
        <v>1667</v>
      </c>
      <c r="N315" s="69"/>
    </row>
    <row r="316" spans="1:14" x14ac:dyDescent="0.2">
      <c r="A316" s="78">
        <v>1017</v>
      </c>
      <c r="B316" s="68" t="s">
        <v>1668</v>
      </c>
      <c r="C316" s="1642"/>
      <c r="D316" s="66" t="s">
        <v>1062</v>
      </c>
      <c r="E316" s="38">
        <v>40841</v>
      </c>
      <c r="F316" s="84" t="s">
        <v>682</v>
      </c>
      <c r="G316" s="1654"/>
      <c r="H316" s="1647"/>
      <c r="I316" s="1626"/>
      <c r="J316" s="1645"/>
      <c r="K316" s="1645"/>
      <c r="L316" s="66" t="s">
        <v>1526</v>
      </c>
      <c r="M316" s="68" t="s">
        <v>1669</v>
      </c>
      <c r="N316" s="69"/>
    </row>
    <row r="317" spans="1:14" x14ac:dyDescent="0.2">
      <c r="A317" s="78">
        <v>1018</v>
      </c>
      <c r="B317" s="68" t="s">
        <v>1670</v>
      </c>
      <c r="C317" s="1642"/>
      <c r="D317" s="66" t="s">
        <v>1062</v>
      </c>
      <c r="E317" s="38">
        <v>40841</v>
      </c>
      <c r="F317" s="84" t="s">
        <v>682</v>
      </c>
      <c r="G317" s="1654"/>
      <c r="H317" s="1647"/>
      <c r="I317" s="1626"/>
      <c r="J317" s="1645"/>
      <c r="K317" s="1645"/>
      <c r="L317" s="66" t="s">
        <v>1526</v>
      </c>
      <c r="M317" s="68" t="s">
        <v>1671</v>
      </c>
      <c r="N317" s="69"/>
    </row>
    <row r="318" spans="1:14" x14ac:dyDescent="0.2">
      <c r="A318" s="78">
        <v>1019</v>
      </c>
      <c r="B318" s="68" t="s">
        <v>1672</v>
      </c>
      <c r="C318" s="1642"/>
      <c r="D318" s="66" t="s">
        <v>1062</v>
      </c>
      <c r="E318" s="38">
        <v>40841</v>
      </c>
      <c r="F318" s="84" t="s">
        <v>682</v>
      </c>
      <c r="G318" s="1654"/>
      <c r="H318" s="1647"/>
      <c r="I318" s="1626"/>
      <c r="J318" s="1645"/>
      <c r="K318" s="1645"/>
      <c r="L318" s="66" t="s">
        <v>1526</v>
      </c>
      <c r="M318" s="68" t="s">
        <v>1673</v>
      </c>
      <c r="N318" s="69"/>
    </row>
    <row r="319" spans="1:14" x14ac:dyDescent="0.2">
      <c r="A319" s="78">
        <v>1020</v>
      </c>
      <c r="B319" s="68" t="s">
        <v>1674</v>
      </c>
      <c r="C319" s="1643"/>
      <c r="D319" s="66" t="s">
        <v>1062</v>
      </c>
      <c r="E319" s="38">
        <v>40841</v>
      </c>
      <c r="F319" s="84" t="s">
        <v>682</v>
      </c>
      <c r="G319" s="1654"/>
      <c r="H319" s="1647"/>
      <c r="I319" s="1627"/>
      <c r="J319" s="1646"/>
      <c r="K319" s="1646"/>
      <c r="L319" s="66" t="s">
        <v>1526</v>
      </c>
      <c r="M319" s="68" t="s">
        <v>1675</v>
      </c>
      <c r="N319" s="69"/>
    </row>
    <row r="320" spans="1:14" x14ac:dyDescent="0.2">
      <c r="A320" s="78">
        <v>1021</v>
      </c>
      <c r="B320" s="68" t="s">
        <v>1676</v>
      </c>
      <c r="C320" s="1641" t="s">
        <v>1525</v>
      </c>
      <c r="D320" s="66" t="s">
        <v>1067</v>
      </c>
      <c r="E320" s="38">
        <v>40841</v>
      </c>
      <c r="F320" s="84" t="s">
        <v>682</v>
      </c>
      <c r="G320" s="1654">
        <v>15</v>
      </c>
      <c r="H320" s="1647">
        <v>15</v>
      </c>
      <c r="I320" s="1625">
        <f>COUNTIF(F320:F334,"S")</f>
        <v>15</v>
      </c>
      <c r="J320" s="1644">
        <f>I320/G320</f>
        <v>1</v>
      </c>
      <c r="K320" s="1644">
        <f>IF(I320/H320&gt;1,1,I320/H320)</f>
        <v>1</v>
      </c>
      <c r="L320" s="66" t="s">
        <v>1526</v>
      </c>
      <c r="M320" s="68" t="s">
        <v>1677</v>
      </c>
      <c r="N320" s="69"/>
    </row>
    <row r="321" spans="1:14" x14ac:dyDescent="0.2">
      <c r="A321" s="78">
        <v>1022</v>
      </c>
      <c r="B321" s="68" t="s">
        <v>1678</v>
      </c>
      <c r="C321" s="1642"/>
      <c r="D321" s="66" t="s">
        <v>1067</v>
      </c>
      <c r="E321" s="38">
        <v>40841</v>
      </c>
      <c r="F321" s="84" t="s">
        <v>682</v>
      </c>
      <c r="G321" s="1654"/>
      <c r="H321" s="1647"/>
      <c r="I321" s="1626"/>
      <c r="J321" s="1645"/>
      <c r="K321" s="1645"/>
      <c r="L321" s="66" t="s">
        <v>1526</v>
      </c>
      <c r="M321" s="68" t="s">
        <v>1679</v>
      </c>
      <c r="N321" s="69"/>
    </row>
    <row r="322" spans="1:14" x14ac:dyDescent="0.2">
      <c r="A322" s="78">
        <v>1023</v>
      </c>
      <c r="B322" s="68" t="s">
        <v>1680</v>
      </c>
      <c r="C322" s="1642"/>
      <c r="D322" s="66" t="s">
        <v>1067</v>
      </c>
      <c r="E322" s="38">
        <v>40841</v>
      </c>
      <c r="F322" s="84" t="s">
        <v>682</v>
      </c>
      <c r="G322" s="1654"/>
      <c r="H322" s="1647"/>
      <c r="I322" s="1626"/>
      <c r="J322" s="1645"/>
      <c r="K322" s="1645"/>
      <c r="L322" s="66" t="s">
        <v>1526</v>
      </c>
      <c r="M322" s="68" t="s">
        <v>1681</v>
      </c>
      <c r="N322" s="69"/>
    </row>
    <row r="323" spans="1:14" x14ac:dyDescent="0.2">
      <c r="A323" s="78">
        <v>1024</v>
      </c>
      <c r="B323" s="68" t="s">
        <v>1682</v>
      </c>
      <c r="C323" s="1642"/>
      <c r="D323" s="66" t="s">
        <v>1067</v>
      </c>
      <c r="E323" s="38">
        <v>40841</v>
      </c>
      <c r="F323" s="84" t="s">
        <v>682</v>
      </c>
      <c r="G323" s="1654"/>
      <c r="H323" s="1647"/>
      <c r="I323" s="1626"/>
      <c r="J323" s="1645"/>
      <c r="K323" s="1645"/>
      <c r="L323" s="66" t="s">
        <v>1526</v>
      </c>
      <c r="M323" s="68" t="s">
        <v>1683</v>
      </c>
      <c r="N323" s="69"/>
    </row>
    <row r="324" spans="1:14" x14ac:dyDescent="0.2">
      <c r="A324" s="78">
        <v>1025</v>
      </c>
      <c r="B324" s="68" t="s">
        <v>1684</v>
      </c>
      <c r="C324" s="1642"/>
      <c r="D324" s="66" t="s">
        <v>1067</v>
      </c>
      <c r="E324" s="38">
        <v>40841</v>
      </c>
      <c r="F324" s="84" t="s">
        <v>682</v>
      </c>
      <c r="G324" s="1654"/>
      <c r="H324" s="1647"/>
      <c r="I324" s="1626"/>
      <c r="J324" s="1645"/>
      <c r="K324" s="1645"/>
      <c r="L324" s="66" t="s">
        <v>1526</v>
      </c>
      <c r="M324" s="68" t="s">
        <v>1685</v>
      </c>
      <c r="N324" s="69"/>
    </row>
    <row r="325" spans="1:14" x14ac:dyDescent="0.2">
      <c r="A325" s="78">
        <v>1026</v>
      </c>
      <c r="B325" s="68" t="s">
        <v>1686</v>
      </c>
      <c r="C325" s="1642"/>
      <c r="D325" s="66" t="s">
        <v>1067</v>
      </c>
      <c r="E325" s="38">
        <v>40841</v>
      </c>
      <c r="F325" s="84" t="s">
        <v>682</v>
      </c>
      <c r="G325" s="1654"/>
      <c r="H325" s="1647"/>
      <c r="I325" s="1626"/>
      <c r="J325" s="1645"/>
      <c r="K325" s="1645"/>
      <c r="L325" s="66" t="s">
        <v>1526</v>
      </c>
      <c r="M325" s="68" t="s">
        <v>1687</v>
      </c>
      <c r="N325" s="69"/>
    </row>
    <row r="326" spans="1:14" x14ac:dyDescent="0.2">
      <c r="A326" s="78">
        <v>1027</v>
      </c>
      <c r="B326" s="68" t="s">
        <v>1688</v>
      </c>
      <c r="C326" s="1642"/>
      <c r="D326" s="66" t="s">
        <v>1067</v>
      </c>
      <c r="E326" s="38">
        <v>40841</v>
      </c>
      <c r="F326" s="84" t="s">
        <v>682</v>
      </c>
      <c r="G326" s="1654"/>
      <c r="H326" s="1647"/>
      <c r="I326" s="1626"/>
      <c r="J326" s="1645"/>
      <c r="K326" s="1645"/>
      <c r="L326" s="66" t="s">
        <v>1526</v>
      </c>
      <c r="M326" s="68" t="s">
        <v>1689</v>
      </c>
      <c r="N326" s="69"/>
    </row>
    <row r="327" spans="1:14" x14ac:dyDescent="0.2">
      <c r="A327" s="78">
        <v>1028</v>
      </c>
      <c r="B327" s="68" t="s">
        <v>1690</v>
      </c>
      <c r="C327" s="1642"/>
      <c r="D327" s="66" t="s">
        <v>1067</v>
      </c>
      <c r="E327" s="38">
        <v>40841</v>
      </c>
      <c r="F327" s="84" t="s">
        <v>682</v>
      </c>
      <c r="G327" s="1654"/>
      <c r="H327" s="1647"/>
      <c r="I327" s="1626"/>
      <c r="J327" s="1645"/>
      <c r="K327" s="1645"/>
      <c r="L327" s="66" t="s">
        <v>1526</v>
      </c>
      <c r="M327" s="68" t="s">
        <v>1691</v>
      </c>
      <c r="N327" s="69"/>
    </row>
    <row r="328" spans="1:14" x14ac:dyDescent="0.2">
      <c r="A328" s="78">
        <v>1029</v>
      </c>
      <c r="B328" s="68" t="s">
        <v>1692</v>
      </c>
      <c r="C328" s="1642"/>
      <c r="D328" s="66" t="s">
        <v>1067</v>
      </c>
      <c r="E328" s="38">
        <v>40841</v>
      </c>
      <c r="F328" s="84" t="s">
        <v>682</v>
      </c>
      <c r="G328" s="1654"/>
      <c r="H328" s="1647"/>
      <c r="I328" s="1626"/>
      <c r="J328" s="1645"/>
      <c r="K328" s="1645"/>
      <c r="L328" s="66" t="s">
        <v>1526</v>
      </c>
      <c r="M328" s="68" t="s">
        <v>1693</v>
      </c>
      <c r="N328" s="69"/>
    </row>
    <row r="329" spans="1:14" x14ac:dyDescent="0.2">
      <c r="A329" s="78">
        <v>1030</v>
      </c>
      <c r="B329" s="68" t="s">
        <v>1694</v>
      </c>
      <c r="C329" s="1642"/>
      <c r="D329" s="66" t="s">
        <v>1067</v>
      </c>
      <c r="E329" s="38">
        <v>40841</v>
      </c>
      <c r="F329" s="84" t="s">
        <v>682</v>
      </c>
      <c r="G329" s="1654"/>
      <c r="H329" s="1647"/>
      <c r="I329" s="1626"/>
      <c r="J329" s="1645"/>
      <c r="K329" s="1645"/>
      <c r="L329" s="66" t="s">
        <v>1526</v>
      </c>
      <c r="M329" s="68" t="s">
        <v>1695</v>
      </c>
      <c r="N329" s="69"/>
    </row>
    <row r="330" spans="1:14" x14ac:dyDescent="0.2">
      <c r="A330" s="78">
        <v>1031</v>
      </c>
      <c r="B330" s="68" t="s">
        <v>1696</v>
      </c>
      <c r="C330" s="1642"/>
      <c r="D330" s="66" t="s">
        <v>1067</v>
      </c>
      <c r="E330" s="38">
        <v>40841</v>
      </c>
      <c r="F330" s="84" t="s">
        <v>682</v>
      </c>
      <c r="G330" s="1654"/>
      <c r="H330" s="1647"/>
      <c r="I330" s="1626"/>
      <c r="J330" s="1645"/>
      <c r="K330" s="1645"/>
      <c r="L330" s="66" t="s">
        <v>1526</v>
      </c>
      <c r="M330" s="68" t="s">
        <v>1697</v>
      </c>
      <c r="N330" s="69"/>
    </row>
    <row r="331" spans="1:14" x14ac:dyDescent="0.2">
      <c r="A331" s="78">
        <v>1032</v>
      </c>
      <c r="B331" s="68" t="s">
        <v>1698</v>
      </c>
      <c r="C331" s="1642"/>
      <c r="D331" s="66" t="s">
        <v>1067</v>
      </c>
      <c r="E331" s="38">
        <v>40841</v>
      </c>
      <c r="F331" s="84" t="s">
        <v>682</v>
      </c>
      <c r="G331" s="1654"/>
      <c r="H331" s="1647"/>
      <c r="I331" s="1626"/>
      <c r="J331" s="1645"/>
      <c r="K331" s="1645"/>
      <c r="L331" s="66" t="s">
        <v>1526</v>
      </c>
      <c r="M331" s="68" t="s">
        <v>1699</v>
      </c>
      <c r="N331" s="69"/>
    </row>
    <row r="332" spans="1:14" x14ac:dyDescent="0.2">
      <c r="A332" s="78">
        <v>1033</v>
      </c>
      <c r="B332" s="68" t="s">
        <v>1700</v>
      </c>
      <c r="C332" s="1642"/>
      <c r="D332" s="66" t="s">
        <v>1067</v>
      </c>
      <c r="E332" s="38">
        <v>40841</v>
      </c>
      <c r="F332" s="84" t="s">
        <v>682</v>
      </c>
      <c r="G332" s="1654"/>
      <c r="H332" s="1647"/>
      <c r="I332" s="1626"/>
      <c r="J332" s="1645"/>
      <c r="K332" s="1645"/>
      <c r="L332" s="66" t="s">
        <v>1526</v>
      </c>
      <c r="M332" s="68" t="s">
        <v>1701</v>
      </c>
      <c r="N332" s="69"/>
    </row>
    <row r="333" spans="1:14" x14ac:dyDescent="0.2">
      <c r="A333" s="78">
        <v>1034</v>
      </c>
      <c r="B333" s="68" t="s">
        <v>1702</v>
      </c>
      <c r="C333" s="1642"/>
      <c r="D333" s="66" t="s">
        <v>1067</v>
      </c>
      <c r="E333" s="38">
        <v>40841</v>
      </c>
      <c r="F333" s="84" t="s">
        <v>682</v>
      </c>
      <c r="G333" s="1654"/>
      <c r="H333" s="1647"/>
      <c r="I333" s="1626"/>
      <c r="J333" s="1645"/>
      <c r="K333" s="1645"/>
      <c r="L333" s="66" t="s">
        <v>1526</v>
      </c>
      <c r="M333" s="68" t="s">
        <v>1703</v>
      </c>
      <c r="N333" s="69"/>
    </row>
    <row r="334" spans="1:14" x14ac:dyDescent="0.2">
      <c r="A334" s="78">
        <v>1035</v>
      </c>
      <c r="B334" s="68" t="s">
        <v>1704</v>
      </c>
      <c r="C334" s="1643"/>
      <c r="D334" s="66" t="s">
        <v>1067</v>
      </c>
      <c r="E334" s="38">
        <v>40841</v>
      </c>
      <c r="F334" s="84" t="s">
        <v>682</v>
      </c>
      <c r="G334" s="1654"/>
      <c r="H334" s="1647"/>
      <c r="I334" s="1627"/>
      <c r="J334" s="1646"/>
      <c r="K334" s="1646"/>
      <c r="L334" s="66" t="s">
        <v>1526</v>
      </c>
      <c r="M334" s="68" t="s">
        <v>1705</v>
      </c>
      <c r="N334" s="69"/>
    </row>
    <row r="335" spans="1:14" x14ac:dyDescent="0.2">
      <c r="A335" s="78">
        <v>1036</v>
      </c>
      <c r="B335" s="68" t="s">
        <v>1706</v>
      </c>
      <c r="C335" s="1641" t="s">
        <v>1525</v>
      </c>
      <c r="D335" s="66" t="s">
        <v>1070</v>
      </c>
      <c r="E335" s="42"/>
      <c r="F335" s="84" t="s">
        <v>879</v>
      </c>
      <c r="G335" s="1654">
        <v>15</v>
      </c>
      <c r="H335" s="1647">
        <v>15</v>
      </c>
      <c r="I335" s="1625">
        <f>COUNTIF(F335:F349,"S")</f>
        <v>0</v>
      </c>
      <c r="J335" s="1644">
        <f>I335/G335</f>
        <v>0</v>
      </c>
      <c r="K335" s="1644">
        <f>IF(I335/H335&gt;1,1,I335/H335)</f>
        <v>0</v>
      </c>
      <c r="L335" s="66" t="s">
        <v>1526</v>
      </c>
      <c r="M335" s="68" t="s">
        <v>78</v>
      </c>
      <c r="N335" s="69"/>
    </row>
    <row r="336" spans="1:14" x14ac:dyDescent="0.2">
      <c r="A336" s="78">
        <v>1037</v>
      </c>
      <c r="B336" s="68" t="s">
        <v>1707</v>
      </c>
      <c r="C336" s="1642"/>
      <c r="D336" s="66" t="s">
        <v>1070</v>
      </c>
      <c r="E336" s="42"/>
      <c r="F336" s="84" t="s">
        <v>879</v>
      </c>
      <c r="G336" s="1654"/>
      <c r="H336" s="1647"/>
      <c r="I336" s="1626"/>
      <c r="J336" s="1645"/>
      <c r="K336" s="1645"/>
      <c r="L336" s="66" t="s">
        <v>1526</v>
      </c>
      <c r="M336" s="68" t="s">
        <v>683</v>
      </c>
      <c r="N336" s="69"/>
    </row>
    <row r="337" spans="1:14" x14ac:dyDescent="0.2">
      <c r="A337" s="78">
        <v>1038</v>
      </c>
      <c r="B337" s="68" t="s">
        <v>1708</v>
      </c>
      <c r="C337" s="1642"/>
      <c r="D337" s="66" t="s">
        <v>1070</v>
      </c>
      <c r="E337" s="42"/>
      <c r="F337" s="84" t="s">
        <v>879</v>
      </c>
      <c r="G337" s="1654"/>
      <c r="H337" s="1647"/>
      <c r="I337" s="1626"/>
      <c r="J337" s="1645"/>
      <c r="K337" s="1645"/>
      <c r="L337" s="66" t="s">
        <v>1526</v>
      </c>
      <c r="M337" s="68" t="s">
        <v>683</v>
      </c>
      <c r="N337" s="69"/>
    </row>
    <row r="338" spans="1:14" x14ac:dyDescent="0.2">
      <c r="A338" s="78">
        <v>1039</v>
      </c>
      <c r="B338" s="68" t="s">
        <v>1709</v>
      </c>
      <c r="C338" s="1642"/>
      <c r="D338" s="66" t="s">
        <v>1070</v>
      </c>
      <c r="E338" s="42"/>
      <c r="F338" s="84" t="s">
        <v>879</v>
      </c>
      <c r="G338" s="1654"/>
      <c r="H338" s="1647"/>
      <c r="I338" s="1626"/>
      <c r="J338" s="1645"/>
      <c r="K338" s="1645"/>
      <c r="L338" s="66" t="s">
        <v>1526</v>
      </c>
      <c r="M338" s="68" t="s">
        <v>683</v>
      </c>
      <c r="N338" s="69"/>
    </row>
    <row r="339" spans="1:14" x14ac:dyDescent="0.2">
      <c r="A339" s="78">
        <v>1040</v>
      </c>
      <c r="B339" s="68" t="s">
        <v>1710</v>
      </c>
      <c r="C339" s="1642"/>
      <c r="D339" s="66" t="s">
        <v>1070</v>
      </c>
      <c r="E339" s="42"/>
      <c r="F339" s="84" t="s">
        <v>879</v>
      </c>
      <c r="G339" s="1654"/>
      <c r="H339" s="1647"/>
      <c r="I339" s="1626"/>
      <c r="J339" s="1645"/>
      <c r="K339" s="1645"/>
      <c r="L339" s="66" t="s">
        <v>1526</v>
      </c>
      <c r="M339" s="68" t="s">
        <v>683</v>
      </c>
      <c r="N339" s="69"/>
    </row>
    <row r="340" spans="1:14" x14ac:dyDescent="0.2">
      <c r="A340" s="78">
        <v>1041</v>
      </c>
      <c r="B340" s="68" t="s">
        <v>1711</v>
      </c>
      <c r="C340" s="1642"/>
      <c r="D340" s="66" t="s">
        <v>1070</v>
      </c>
      <c r="E340" s="42"/>
      <c r="F340" s="84" t="s">
        <v>879</v>
      </c>
      <c r="G340" s="1654"/>
      <c r="H340" s="1647"/>
      <c r="I340" s="1626"/>
      <c r="J340" s="1645"/>
      <c r="K340" s="1645"/>
      <c r="L340" s="66" t="s">
        <v>1526</v>
      </c>
      <c r="M340" s="68" t="s">
        <v>683</v>
      </c>
      <c r="N340" s="69"/>
    </row>
    <row r="341" spans="1:14" x14ac:dyDescent="0.2">
      <c r="A341" s="78">
        <v>1042</v>
      </c>
      <c r="B341" s="68" t="s">
        <v>1712</v>
      </c>
      <c r="C341" s="1642"/>
      <c r="D341" s="66" t="s">
        <v>1070</v>
      </c>
      <c r="E341" s="42"/>
      <c r="F341" s="84" t="s">
        <v>879</v>
      </c>
      <c r="G341" s="1654"/>
      <c r="H341" s="1647"/>
      <c r="I341" s="1626"/>
      <c r="J341" s="1645"/>
      <c r="K341" s="1645"/>
      <c r="L341" s="66" t="s">
        <v>1526</v>
      </c>
      <c r="M341" s="68" t="s">
        <v>683</v>
      </c>
      <c r="N341" s="69"/>
    </row>
    <row r="342" spans="1:14" x14ac:dyDescent="0.2">
      <c r="A342" s="78">
        <v>1043</v>
      </c>
      <c r="B342" s="68" t="s">
        <v>1713</v>
      </c>
      <c r="C342" s="1642"/>
      <c r="D342" s="66" t="s">
        <v>1070</v>
      </c>
      <c r="E342" s="42"/>
      <c r="F342" s="84" t="s">
        <v>879</v>
      </c>
      <c r="G342" s="1654"/>
      <c r="H342" s="1647"/>
      <c r="I342" s="1626"/>
      <c r="J342" s="1645"/>
      <c r="K342" s="1645"/>
      <c r="L342" s="66" t="s">
        <v>1526</v>
      </c>
      <c r="M342" s="68" t="s">
        <v>683</v>
      </c>
      <c r="N342" s="69"/>
    </row>
    <row r="343" spans="1:14" x14ac:dyDescent="0.2">
      <c r="A343" s="78">
        <v>1044</v>
      </c>
      <c r="B343" s="68" t="s">
        <v>1714</v>
      </c>
      <c r="C343" s="1642"/>
      <c r="D343" s="66" t="s">
        <v>1070</v>
      </c>
      <c r="E343" s="42"/>
      <c r="F343" s="84" t="s">
        <v>879</v>
      </c>
      <c r="G343" s="1654"/>
      <c r="H343" s="1647"/>
      <c r="I343" s="1626"/>
      <c r="J343" s="1645"/>
      <c r="K343" s="1645"/>
      <c r="L343" s="66" t="s">
        <v>1526</v>
      </c>
      <c r="M343" s="68" t="s">
        <v>683</v>
      </c>
      <c r="N343" s="69"/>
    </row>
    <row r="344" spans="1:14" x14ac:dyDescent="0.2">
      <c r="A344" s="78">
        <v>1045</v>
      </c>
      <c r="B344" s="68" t="s">
        <v>1715</v>
      </c>
      <c r="C344" s="1642"/>
      <c r="D344" s="66" t="s">
        <v>1070</v>
      </c>
      <c r="E344" s="42"/>
      <c r="F344" s="84" t="s">
        <v>879</v>
      </c>
      <c r="G344" s="1654"/>
      <c r="H344" s="1647"/>
      <c r="I344" s="1626"/>
      <c r="J344" s="1645"/>
      <c r="K344" s="1645"/>
      <c r="L344" s="66" t="s">
        <v>1526</v>
      </c>
      <c r="M344" s="68" t="s">
        <v>683</v>
      </c>
      <c r="N344" s="69"/>
    </row>
    <row r="345" spans="1:14" x14ac:dyDescent="0.2">
      <c r="A345" s="78">
        <v>1046</v>
      </c>
      <c r="B345" s="68" t="s">
        <v>1716</v>
      </c>
      <c r="C345" s="1642"/>
      <c r="D345" s="66" t="s">
        <v>1070</v>
      </c>
      <c r="E345" s="42"/>
      <c r="F345" s="84" t="s">
        <v>879</v>
      </c>
      <c r="G345" s="1654"/>
      <c r="H345" s="1647"/>
      <c r="I345" s="1626"/>
      <c r="J345" s="1645"/>
      <c r="K345" s="1645"/>
      <c r="L345" s="66" t="s">
        <v>1526</v>
      </c>
      <c r="M345" s="68" t="s">
        <v>683</v>
      </c>
      <c r="N345" s="69"/>
    </row>
    <row r="346" spans="1:14" x14ac:dyDescent="0.2">
      <c r="A346" s="78">
        <v>1047</v>
      </c>
      <c r="B346" s="68" t="s">
        <v>1717</v>
      </c>
      <c r="C346" s="1642"/>
      <c r="D346" s="66" t="s">
        <v>1070</v>
      </c>
      <c r="E346" s="42"/>
      <c r="F346" s="84" t="s">
        <v>879</v>
      </c>
      <c r="G346" s="1654"/>
      <c r="H346" s="1647"/>
      <c r="I346" s="1626"/>
      <c r="J346" s="1645"/>
      <c r="K346" s="1645"/>
      <c r="L346" s="66" t="s">
        <v>1526</v>
      </c>
      <c r="M346" s="68" t="s">
        <v>683</v>
      </c>
      <c r="N346" s="69"/>
    </row>
    <row r="347" spans="1:14" x14ac:dyDescent="0.2">
      <c r="A347" s="78">
        <v>1048</v>
      </c>
      <c r="B347" s="68" t="s">
        <v>1718</v>
      </c>
      <c r="C347" s="1642"/>
      <c r="D347" s="66" t="s">
        <v>1070</v>
      </c>
      <c r="E347" s="42"/>
      <c r="F347" s="84" t="s">
        <v>879</v>
      </c>
      <c r="G347" s="1654"/>
      <c r="H347" s="1647"/>
      <c r="I347" s="1626"/>
      <c r="J347" s="1645"/>
      <c r="K347" s="1645"/>
      <c r="L347" s="66" t="s">
        <v>1526</v>
      </c>
      <c r="M347" s="68" t="s">
        <v>683</v>
      </c>
      <c r="N347" s="69"/>
    </row>
    <row r="348" spans="1:14" x14ac:dyDescent="0.2">
      <c r="A348" s="78">
        <v>1049</v>
      </c>
      <c r="B348" s="68" t="s">
        <v>1719</v>
      </c>
      <c r="C348" s="1642"/>
      <c r="D348" s="66" t="s">
        <v>1070</v>
      </c>
      <c r="E348" s="42"/>
      <c r="F348" s="84" t="s">
        <v>879</v>
      </c>
      <c r="G348" s="1654"/>
      <c r="H348" s="1647"/>
      <c r="I348" s="1626"/>
      <c r="J348" s="1645"/>
      <c r="K348" s="1645"/>
      <c r="L348" s="66" t="s">
        <v>1526</v>
      </c>
      <c r="M348" s="68" t="s">
        <v>683</v>
      </c>
      <c r="N348" s="69"/>
    </row>
    <row r="349" spans="1:14" x14ac:dyDescent="0.2">
      <c r="A349" s="78">
        <v>1050</v>
      </c>
      <c r="B349" s="68" t="s">
        <v>1720</v>
      </c>
      <c r="C349" s="1643"/>
      <c r="D349" s="66" t="s">
        <v>1070</v>
      </c>
      <c r="E349" s="42"/>
      <c r="F349" s="84" t="s">
        <v>879</v>
      </c>
      <c r="G349" s="1654"/>
      <c r="H349" s="1647"/>
      <c r="I349" s="1627"/>
      <c r="J349" s="1646"/>
      <c r="K349" s="1646"/>
      <c r="L349" s="66" t="s">
        <v>1526</v>
      </c>
      <c r="M349" s="68" t="s">
        <v>683</v>
      </c>
      <c r="N349" s="69"/>
    </row>
    <row r="350" spans="1:14" x14ac:dyDescent="0.2">
      <c r="A350" s="78">
        <v>1051</v>
      </c>
      <c r="B350" s="68" t="s">
        <v>1721</v>
      </c>
      <c r="C350" s="1641" t="s">
        <v>1525</v>
      </c>
      <c r="D350" s="66" t="s">
        <v>1074</v>
      </c>
      <c r="E350" s="38">
        <v>40841</v>
      </c>
      <c r="F350" s="84" t="s">
        <v>682</v>
      </c>
      <c r="G350" s="1654">
        <v>15</v>
      </c>
      <c r="H350" s="1647">
        <v>15</v>
      </c>
      <c r="I350" s="1625">
        <f>COUNTIF(F350:F364,"S")</f>
        <v>15</v>
      </c>
      <c r="J350" s="1644">
        <f>I350/G350</f>
        <v>1</v>
      </c>
      <c r="K350" s="1644">
        <f>IF(I350/H350&gt;1,1,I350/H350)</f>
        <v>1</v>
      </c>
      <c r="L350" s="66" t="s">
        <v>1526</v>
      </c>
      <c r="M350" s="68" t="s">
        <v>1722</v>
      </c>
      <c r="N350" s="69"/>
    </row>
    <row r="351" spans="1:14" x14ac:dyDescent="0.2">
      <c r="A351" s="78">
        <v>1052</v>
      </c>
      <c r="B351" s="68" t="s">
        <v>1723</v>
      </c>
      <c r="C351" s="1642"/>
      <c r="D351" s="66" t="s">
        <v>1074</v>
      </c>
      <c r="E351" s="38">
        <v>40841</v>
      </c>
      <c r="F351" s="84" t="s">
        <v>682</v>
      </c>
      <c r="G351" s="1654"/>
      <c r="H351" s="1647"/>
      <c r="I351" s="1626"/>
      <c r="J351" s="1645"/>
      <c r="K351" s="1645"/>
      <c r="L351" s="66" t="s">
        <v>1526</v>
      </c>
      <c r="M351" s="68" t="s">
        <v>1724</v>
      </c>
      <c r="N351" s="69"/>
    </row>
    <row r="352" spans="1:14" x14ac:dyDescent="0.2">
      <c r="A352" s="78">
        <v>1053</v>
      </c>
      <c r="B352" s="68" t="s">
        <v>1725</v>
      </c>
      <c r="C352" s="1642"/>
      <c r="D352" s="66" t="s">
        <v>1074</v>
      </c>
      <c r="E352" s="38">
        <v>40841</v>
      </c>
      <c r="F352" s="84" t="s">
        <v>682</v>
      </c>
      <c r="G352" s="1654"/>
      <c r="H352" s="1647"/>
      <c r="I352" s="1626"/>
      <c r="J352" s="1645"/>
      <c r="K352" s="1645"/>
      <c r="L352" s="66" t="s">
        <v>1526</v>
      </c>
      <c r="M352" s="68" t="s">
        <v>1726</v>
      </c>
      <c r="N352" s="69"/>
    </row>
    <row r="353" spans="1:14" x14ac:dyDescent="0.2">
      <c r="A353" s="78">
        <v>1054</v>
      </c>
      <c r="B353" s="68" t="s">
        <v>1727</v>
      </c>
      <c r="C353" s="1642"/>
      <c r="D353" s="66" t="s">
        <v>1074</v>
      </c>
      <c r="E353" s="38">
        <v>40841</v>
      </c>
      <c r="F353" s="84" t="s">
        <v>682</v>
      </c>
      <c r="G353" s="1654"/>
      <c r="H353" s="1647"/>
      <c r="I353" s="1626"/>
      <c r="J353" s="1645"/>
      <c r="K353" s="1645"/>
      <c r="L353" s="66" t="s">
        <v>1526</v>
      </c>
      <c r="M353" s="68" t="s">
        <v>1728</v>
      </c>
      <c r="N353" s="69"/>
    </row>
    <row r="354" spans="1:14" x14ac:dyDescent="0.2">
      <c r="A354" s="78">
        <v>1055</v>
      </c>
      <c r="B354" s="68" t="s">
        <v>1729</v>
      </c>
      <c r="C354" s="1642"/>
      <c r="D354" s="66" t="s">
        <v>1074</v>
      </c>
      <c r="E354" s="38">
        <v>40841</v>
      </c>
      <c r="F354" s="84" t="s">
        <v>682</v>
      </c>
      <c r="G354" s="1654"/>
      <c r="H354" s="1647"/>
      <c r="I354" s="1626"/>
      <c r="J354" s="1645"/>
      <c r="K354" s="1645"/>
      <c r="L354" s="66" t="s">
        <v>1526</v>
      </c>
      <c r="M354" s="68" t="s">
        <v>1730</v>
      </c>
      <c r="N354" s="69"/>
    </row>
    <row r="355" spans="1:14" x14ac:dyDescent="0.2">
      <c r="A355" s="78">
        <v>1056</v>
      </c>
      <c r="B355" s="68" t="s">
        <v>1731</v>
      </c>
      <c r="C355" s="1642"/>
      <c r="D355" s="66" t="s">
        <v>1074</v>
      </c>
      <c r="E355" s="38">
        <v>40841</v>
      </c>
      <c r="F355" s="84" t="s">
        <v>682</v>
      </c>
      <c r="G355" s="1654"/>
      <c r="H355" s="1647"/>
      <c r="I355" s="1626"/>
      <c r="J355" s="1645"/>
      <c r="K355" s="1645"/>
      <c r="L355" s="66" t="s">
        <v>1526</v>
      </c>
      <c r="M355" s="68" t="s">
        <v>1732</v>
      </c>
      <c r="N355" s="69"/>
    </row>
    <row r="356" spans="1:14" x14ac:dyDescent="0.2">
      <c r="A356" s="78">
        <v>1057</v>
      </c>
      <c r="B356" s="68" t="s">
        <v>1733</v>
      </c>
      <c r="C356" s="1642"/>
      <c r="D356" s="66" t="s">
        <v>1074</v>
      </c>
      <c r="E356" s="38">
        <v>40841</v>
      </c>
      <c r="F356" s="84" t="s">
        <v>682</v>
      </c>
      <c r="G356" s="1654"/>
      <c r="H356" s="1647"/>
      <c r="I356" s="1626"/>
      <c r="J356" s="1645"/>
      <c r="K356" s="1645"/>
      <c r="L356" s="66" t="s">
        <v>1526</v>
      </c>
      <c r="M356" s="68" t="s">
        <v>1734</v>
      </c>
      <c r="N356" s="69"/>
    </row>
    <row r="357" spans="1:14" x14ac:dyDescent="0.2">
      <c r="A357" s="78">
        <v>1058</v>
      </c>
      <c r="B357" s="68" t="s">
        <v>1735</v>
      </c>
      <c r="C357" s="1642"/>
      <c r="D357" s="66" t="s">
        <v>1074</v>
      </c>
      <c r="E357" s="38">
        <v>40841</v>
      </c>
      <c r="F357" s="84" t="s">
        <v>682</v>
      </c>
      <c r="G357" s="1654"/>
      <c r="H357" s="1647"/>
      <c r="I357" s="1626"/>
      <c r="J357" s="1645"/>
      <c r="K357" s="1645"/>
      <c r="L357" s="66" t="s">
        <v>1526</v>
      </c>
      <c r="M357" s="68" t="s">
        <v>1736</v>
      </c>
      <c r="N357" s="69"/>
    </row>
    <row r="358" spans="1:14" x14ac:dyDescent="0.2">
      <c r="A358" s="78">
        <v>1059</v>
      </c>
      <c r="B358" s="68" t="s">
        <v>1737</v>
      </c>
      <c r="C358" s="1642"/>
      <c r="D358" s="66" t="s">
        <v>1074</v>
      </c>
      <c r="E358" s="38">
        <v>40841</v>
      </c>
      <c r="F358" s="84" t="s">
        <v>682</v>
      </c>
      <c r="G358" s="1654"/>
      <c r="H358" s="1647"/>
      <c r="I358" s="1626"/>
      <c r="J358" s="1645"/>
      <c r="K358" s="1645"/>
      <c r="L358" s="66" t="s">
        <v>1526</v>
      </c>
      <c r="M358" s="68" t="s">
        <v>1738</v>
      </c>
      <c r="N358" s="69"/>
    </row>
    <row r="359" spans="1:14" x14ac:dyDescent="0.2">
      <c r="A359" s="78">
        <v>1060</v>
      </c>
      <c r="B359" s="68" t="s">
        <v>1739</v>
      </c>
      <c r="C359" s="1642"/>
      <c r="D359" s="66" t="s">
        <v>1074</v>
      </c>
      <c r="E359" s="38">
        <v>40841</v>
      </c>
      <c r="F359" s="84" t="s">
        <v>682</v>
      </c>
      <c r="G359" s="1654"/>
      <c r="H359" s="1647"/>
      <c r="I359" s="1626"/>
      <c r="J359" s="1645"/>
      <c r="K359" s="1645"/>
      <c r="L359" s="66" t="s">
        <v>1526</v>
      </c>
      <c r="M359" s="68" t="s">
        <v>1740</v>
      </c>
      <c r="N359" s="69"/>
    </row>
    <row r="360" spans="1:14" x14ac:dyDescent="0.2">
      <c r="A360" s="78">
        <v>1061</v>
      </c>
      <c r="B360" s="68" t="s">
        <v>1741</v>
      </c>
      <c r="C360" s="1642"/>
      <c r="D360" s="66" t="s">
        <v>1074</v>
      </c>
      <c r="E360" s="38">
        <v>40841</v>
      </c>
      <c r="F360" s="84" t="s">
        <v>682</v>
      </c>
      <c r="G360" s="1654"/>
      <c r="H360" s="1647"/>
      <c r="I360" s="1626"/>
      <c r="J360" s="1645"/>
      <c r="K360" s="1645"/>
      <c r="L360" s="66" t="s">
        <v>1526</v>
      </c>
      <c r="M360" s="68" t="s">
        <v>1742</v>
      </c>
      <c r="N360" s="69"/>
    </row>
    <row r="361" spans="1:14" x14ac:dyDescent="0.2">
      <c r="A361" s="78">
        <v>1062</v>
      </c>
      <c r="B361" s="68" t="s">
        <v>1743</v>
      </c>
      <c r="C361" s="1642"/>
      <c r="D361" s="66" t="s">
        <v>1074</v>
      </c>
      <c r="E361" s="38">
        <v>40841</v>
      </c>
      <c r="F361" s="84" t="s">
        <v>682</v>
      </c>
      <c r="G361" s="1654"/>
      <c r="H361" s="1647"/>
      <c r="I361" s="1626"/>
      <c r="J361" s="1645"/>
      <c r="K361" s="1645"/>
      <c r="L361" s="66" t="s">
        <v>1526</v>
      </c>
      <c r="M361" s="68" t="s">
        <v>1744</v>
      </c>
      <c r="N361" s="69"/>
    </row>
    <row r="362" spans="1:14" x14ac:dyDescent="0.2">
      <c r="A362" s="78">
        <v>1063</v>
      </c>
      <c r="B362" s="68" t="s">
        <v>1745</v>
      </c>
      <c r="C362" s="1642"/>
      <c r="D362" s="66" t="s">
        <v>1074</v>
      </c>
      <c r="E362" s="38">
        <v>40841</v>
      </c>
      <c r="F362" s="84" t="s">
        <v>682</v>
      </c>
      <c r="G362" s="1654"/>
      <c r="H362" s="1647"/>
      <c r="I362" s="1626"/>
      <c r="J362" s="1645"/>
      <c r="K362" s="1645"/>
      <c r="L362" s="66" t="s">
        <v>1526</v>
      </c>
      <c r="M362" s="68" t="s">
        <v>1746</v>
      </c>
      <c r="N362" s="69"/>
    </row>
    <row r="363" spans="1:14" x14ac:dyDescent="0.2">
      <c r="A363" s="78">
        <v>1064</v>
      </c>
      <c r="B363" s="68" t="s">
        <v>1747</v>
      </c>
      <c r="C363" s="1642"/>
      <c r="D363" s="66" t="s">
        <v>1074</v>
      </c>
      <c r="E363" s="38">
        <v>40841</v>
      </c>
      <c r="F363" s="84" t="s">
        <v>682</v>
      </c>
      <c r="G363" s="1654"/>
      <c r="H363" s="1647"/>
      <c r="I363" s="1626"/>
      <c r="J363" s="1645"/>
      <c r="K363" s="1645"/>
      <c r="L363" s="66" t="s">
        <v>1526</v>
      </c>
      <c r="M363" s="68" t="s">
        <v>1748</v>
      </c>
      <c r="N363" s="69"/>
    </row>
    <row r="364" spans="1:14" x14ac:dyDescent="0.2">
      <c r="A364" s="78">
        <v>1065</v>
      </c>
      <c r="B364" s="68" t="s">
        <v>1749</v>
      </c>
      <c r="C364" s="1643"/>
      <c r="D364" s="66" t="s">
        <v>1074</v>
      </c>
      <c r="E364" s="38">
        <v>40841</v>
      </c>
      <c r="F364" s="84" t="s">
        <v>682</v>
      </c>
      <c r="G364" s="1654"/>
      <c r="H364" s="1647"/>
      <c r="I364" s="1627"/>
      <c r="J364" s="1646"/>
      <c r="K364" s="1646"/>
      <c r="L364" s="66" t="s">
        <v>1526</v>
      </c>
      <c r="M364" s="68" t="s">
        <v>1750</v>
      </c>
      <c r="N364" s="69"/>
    </row>
    <row r="365" spans="1:14" x14ac:dyDescent="0.2">
      <c r="A365" s="78">
        <v>1066</v>
      </c>
      <c r="B365" s="68" t="s">
        <v>1751</v>
      </c>
      <c r="C365" s="1641" t="s">
        <v>1525</v>
      </c>
      <c r="D365" s="66" t="s">
        <v>1076</v>
      </c>
      <c r="E365" s="38"/>
      <c r="F365" s="84" t="s">
        <v>879</v>
      </c>
      <c r="G365" s="1654">
        <v>15</v>
      </c>
      <c r="H365" s="1647">
        <v>15</v>
      </c>
      <c r="I365" s="1625">
        <f>COUNTIF(F365:F379,"S")</f>
        <v>0</v>
      </c>
      <c r="J365" s="1644">
        <f>I365/G365</f>
        <v>0</v>
      </c>
      <c r="K365" s="1644">
        <f>IF(I365/H365&gt;1,1,I365/H365)</f>
        <v>0</v>
      </c>
      <c r="L365" s="66" t="s">
        <v>1526</v>
      </c>
      <c r="M365" s="68" t="s">
        <v>683</v>
      </c>
      <c r="N365" s="69"/>
    </row>
    <row r="366" spans="1:14" x14ac:dyDescent="0.2">
      <c r="A366" s="78">
        <v>1067</v>
      </c>
      <c r="B366" s="68" t="s">
        <v>1752</v>
      </c>
      <c r="C366" s="1642"/>
      <c r="D366" s="66" t="s">
        <v>1076</v>
      </c>
      <c r="E366" s="38"/>
      <c r="F366" s="84" t="s">
        <v>879</v>
      </c>
      <c r="G366" s="1654"/>
      <c r="H366" s="1647"/>
      <c r="I366" s="1626"/>
      <c r="J366" s="1645"/>
      <c r="K366" s="1645"/>
      <c r="L366" s="66" t="s">
        <v>1526</v>
      </c>
      <c r="M366" s="68" t="s">
        <v>683</v>
      </c>
      <c r="N366" s="69"/>
    </row>
    <row r="367" spans="1:14" x14ac:dyDescent="0.2">
      <c r="A367" s="78">
        <v>1068</v>
      </c>
      <c r="B367" s="68" t="s">
        <v>1753</v>
      </c>
      <c r="C367" s="1642"/>
      <c r="D367" s="66" t="s">
        <v>1076</v>
      </c>
      <c r="E367" s="38"/>
      <c r="F367" s="84" t="s">
        <v>879</v>
      </c>
      <c r="G367" s="1654"/>
      <c r="H367" s="1647"/>
      <c r="I367" s="1626"/>
      <c r="J367" s="1645"/>
      <c r="K367" s="1645"/>
      <c r="L367" s="66" t="s">
        <v>1526</v>
      </c>
      <c r="M367" s="68" t="s">
        <v>683</v>
      </c>
      <c r="N367" s="69"/>
    </row>
    <row r="368" spans="1:14" x14ac:dyDescent="0.2">
      <c r="A368" s="78">
        <v>1069</v>
      </c>
      <c r="B368" s="68" t="s">
        <v>1754</v>
      </c>
      <c r="C368" s="1642"/>
      <c r="D368" s="66" t="s">
        <v>1076</v>
      </c>
      <c r="E368" s="38"/>
      <c r="F368" s="84" t="s">
        <v>879</v>
      </c>
      <c r="G368" s="1654"/>
      <c r="H368" s="1647"/>
      <c r="I368" s="1626"/>
      <c r="J368" s="1645"/>
      <c r="K368" s="1645"/>
      <c r="L368" s="66" t="s">
        <v>1526</v>
      </c>
      <c r="M368" s="68" t="s">
        <v>683</v>
      </c>
      <c r="N368" s="69"/>
    </row>
    <row r="369" spans="1:14" x14ac:dyDescent="0.2">
      <c r="A369" s="78">
        <v>1070</v>
      </c>
      <c r="B369" s="68" t="s">
        <v>1755</v>
      </c>
      <c r="C369" s="1642"/>
      <c r="D369" s="66" t="s">
        <v>1076</v>
      </c>
      <c r="E369" s="38"/>
      <c r="F369" s="84" t="s">
        <v>879</v>
      </c>
      <c r="G369" s="1654"/>
      <c r="H369" s="1647"/>
      <c r="I369" s="1626"/>
      <c r="J369" s="1645"/>
      <c r="K369" s="1645"/>
      <c r="L369" s="66" t="s">
        <v>1526</v>
      </c>
      <c r="M369" s="68" t="s">
        <v>683</v>
      </c>
      <c r="N369" s="69"/>
    </row>
    <row r="370" spans="1:14" x14ac:dyDescent="0.2">
      <c r="A370" s="78">
        <v>1071</v>
      </c>
      <c r="B370" s="68" t="s">
        <v>1756</v>
      </c>
      <c r="C370" s="1642"/>
      <c r="D370" s="66" t="s">
        <v>1076</v>
      </c>
      <c r="E370" s="38"/>
      <c r="F370" s="84" t="s">
        <v>879</v>
      </c>
      <c r="G370" s="1654"/>
      <c r="H370" s="1647"/>
      <c r="I370" s="1626"/>
      <c r="J370" s="1645"/>
      <c r="K370" s="1645"/>
      <c r="L370" s="66" t="s">
        <v>1526</v>
      </c>
      <c r="M370" s="68" t="s">
        <v>683</v>
      </c>
      <c r="N370" s="69"/>
    </row>
    <row r="371" spans="1:14" x14ac:dyDescent="0.2">
      <c r="A371" s="78">
        <v>1072</v>
      </c>
      <c r="B371" s="68" t="s">
        <v>1757</v>
      </c>
      <c r="C371" s="1642"/>
      <c r="D371" s="66" t="s">
        <v>1076</v>
      </c>
      <c r="E371" s="38"/>
      <c r="F371" s="84" t="s">
        <v>879</v>
      </c>
      <c r="G371" s="1654"/>
      <c r="H371" s="1647"/>
      <c r="I371" s="1626"/>
      <c r="J371" s="1645"/>
      <c r="K371" s="1645"/>
      <c r="L371" s="66" t="s">
        <v>1526</v>
      </c>
      <c r="M371" s="68" t="s">
        <v>683</v>
      </c>
      <c r="N371" s="69"/>
    </row>
    <row r="372" spans="1:14" x14ac:dyDescent="0.2">
      <c r="A372" s="78">
        <v>1073</v>
      </c>
      <c r="B372" s="68" t="s">
        <v>1758</v>
      </c>
      <c r="C372" s="1642"/>
      <c r="D372" s="66" t="s">
        <v>1076</v>
      </c>
      <c r="E372" s="38"/>
      <c r="F372" s="84" t="s">
        <v>879</v>
      </c>
      <c r="G372" s="1654"/>
      <c r="H372" s="1647"/>
      <c r="I372" s="1626"/>
      <c r="J372" s="1645"/>
      <c r="K372" s="1645"/>
      <c r="L372" s="66" t="s">
        <v>1526</v>
      </c>
      <c r="M372" s="68" t="s">
        <v>683</v>
      </c>
      <c r="N372" s="69"/>
    </row>
    <row r="373" spans="1:14" x14ac:dyDescent="0.2">
      <c r="A373" s="78">
        <v>1074</v>
      </c>
      <c r="B373" s="68" t="s">
        <v>1759</v>
      </c>
      <c r="C373" s="1642"/>
      <c r="D373" s="66" t="s">
        <v>1076</v>
      </c>
      <c r="E373" s="38"/>
      <c r="F373" s="84" t="s">
        <v>879</v>
      </c>
      <c r="G373" s="1654"/>
      <c r="H373" s="1647"/>
      <c r="I373" s="1626"/>
      <c r="J373" s="1645"/>
      <c r="K373" s="1645"/>
      <c r="L373" s="66" t="s">
        <v>1526</v>
      </c>
      <c r="M373" s="68" t="s">
        <v>683</v>
      </c>
      <c r="N373" s="69"/>
    </row>
    <row r="374" spans="1:14" x14ac:dyDescent="0.2">
      <c r="A374" s="78">
        <v>1075</v>
      </c>
      <c r="B374" s="68" t="s">
        <v>1760</v>
      </c>
      <c r="C374" s="1642"/>
      <c r="D374" s="66" t="s">
        <v>1076</v>
      </c>
      <c r="E374" s="38"/>
      <c r="F374" s="84" t="s">
        <v>879</v>
      </c>
      <c r="G374" s="1654"/>
      <c r="H374" s="1647"/>
      <c r="I374" s="1626"/>
      <c r="J374" s="1645"/>
      <c r="K374" s="1645"/>
      <c r="L374" s="66" t="s">
        <v>1526</v>
      </c>
      <c r="M374" s="68" t="s">
        <v>683</v>
      </c>
      <c r="N374" s="69"/>
    </row>
    <row r="375" spans="1:14" x14ac:dyDescent="0.2">
      <c r="A375" s="78">
        <v>1076</v>
      </c>
      <c r="B375" s="68" t="s">
        <v>1761</v>
      </c>
      <c r="C375" s="1642"/>
      <c r="D375" s="66" t="s">
        <v>1076</v>
      </c>
      <c r="E375" s="38"/>
      <c r="F375" s="84" t="s">
        <v>879</v>
      </c>
      <c r="G375" s="1654"/>
      <c r="H375" s="1647"/>
      <c r="I375" s="1626"/>
      <c r="J375" s="1645"/>
      <c r="K375" s="1645"/>
      <c r="L375" s="66" t="s">
        <v>1526</v>
      </c>
      <c r="M375" s="68" t="s">
        <v>683</v>
      </c>
      <c r="N375" s="69"/>
    </row>
    <row r="376" spans="1:14" x14ac:dyDescent="0.2">
      <c r="A376" s="78">
        <v>1077</v>
      </c>
      <c r="B376" s="68" t="s">
        <v>1762</v>
      </c>
      <c r="C376" s="1642"/>
      <c r="D376" s="66" t="s">
        <v>1076</v>
      </c>
      <c r="E376" s="38"/>
      <c r="F376" s="84" t="s">
        <v>879</v>
      </c>
      <c r="G376" s="1654"/>
      <c r="H376" s="1647"/>
      <c r="I376" s="1626"/>
      <c r="J376" s="1645"/>
      <c r="K376" s="1645"/>
      <c r="L376" s="66" t="s">
        <v>1526</v>
      </c>
      <c r="M376" s="68" t="s">
        <v>683</v>
      </c>
      <c r="N376" s="69"/>
    </row>
    <row r="377" spans="1:14" x14ac:dyDescent="0.2">
      <c r="A377" s="78">
        <v>1078</v>
      </c>
      <c r="B377" s="68" t="s">
        <v>1763</v>
      </c>
      <c r="C377" s="1642"/>
      <c r="D377" s="66" t="s">
        <v>1076</v>
      </c>
      <c r="E377" s="38"/>
      <c r="F377" s="84" t="s">
        <v>879</v>
      </c>
      <c r="G377" s="1654"/>
      <c r="H377" s="1647"/>
      <c r="I377" s="1626"/>
      <c r="J377" s="1645"/>
      <c r="K377" s="1645"/>
      <c r="L377" s="66" t="s">
        <v>1526</v>
      </c>
      <c r="M377" s="68" t="s">
        <v>683</v>
      </c>
      <c r="N377" s="69"/>
    </row>
    <row r="378" spans="1:14" x14ac:dyDescent="0.2">
      <c r="A378" s="78">
        <v>1079</v>
      </c>
      <c r="B378" s="68" t="s">
        <v>1764</v>
      </c>
      <c r="C378" s="1642"/>
      <c r="D378" s="66" t="s">
        <v>1076</v>
      </c>
      <c r="E378" s="38"/>
      <c r="F378" s="84" t="s">
        <v>879</v>
      </c>
      <c r="G378" s="1654"/>
      <c r="H378" s="1647"/>
      <c r="I378" s="1626"/>
      <c r="J378" s="1645"/>
      <c r="K378" s="1645"/>
      <c r="L378" s="66" t="s">
        <v>1526</v>
      </c>
      <c r="M378" s="68" t="s">
        <v>683</v>
      </c>
      <c r="N378" s="69"/>
    </row>
    <row r="379" spans="1:14" x14ac:dyDescent="0.2">
      <c r="A379" s="78">
        <v>1080</v>
      </c>
      <c r="B379" s="68" t="s">
        <v>1765</v>
      </c>
      <c r="C379" s="1643"/>
      <c r="D379" s="66" t="s">
        <v>1076</v>
      </c>
      <c r="E379" s="38"/>
      <c r="F379" s="84" t="s">
        <v>879</v>
      </c>
      <c r="G379" s="1654"/>
      <c r="H379" s="1647"/>
      <c r="I379" s="1627"/>
      <c r="J379" s="1646"/>
      <c r="K379" s="1646"/>
      <c r="L379" s="66" t="s">
        <v>1526</v>
      </c>
      <c r="M379" s="68" t="s">
        <v>683</v>
      </c>
      <c r="N379" s="69"/>
    </row>
    <row r="380" spans="1:14" x14ac:dyDescent="0.2">
      <c r="A380" s="78">
        <v>1081</v>
      </c>
      <c r="B380" s="68" t="s">
        <v>1766</v>
      </c>
      <c r="C380" s="1641" t="s">
        <v>1525</v>
      </c>
      <c r="D380" s="66" t="s">
        <v>1079</v>
      </c>
      <c r="E380" s="38">
        <v>40841</v>
      </c>
      <c r="F380" s="84" t="s">
        <v>682</v>
      </c>
      <c r="G380" s="1654">
        <v>10</v>
      </c>
      <c r="H380" s="1647">
        <v>10</v>
      </c>
      <c r="I380" s="1625">
        <f>COUNTIF(F380:F389,"S")</f>
        <v>10</v>
      </c>
      <c r="J380" s="1644">
        <f>I380/G380</f>
        <v>1</v>
      </c>
      <c r="K380" s="1644">
        <f>IF(I380/H380&gt;1,1,I380/H380)</f>
        <v>1</v>
      </c>
      <c r="L380" s="66" t="s">
        <v>1526</v>
      </c>
      <c r="M380" s="68" t="s">
        <v>1767</v>
      </c>
      <c r="N380" s="69"/>
    </row>
    <row r="381" spans="1:14" x14ac:dyDescent="0.2">
      <c r="A381" s="78">
        <v>1082</v>
      </c>
      <c r="B381" s="68" t="s">
        <v>1768</v>
      </c>
      <c r="C381" s="1642"/>
      <c r="D381" s="66" t="s">
        <v>1079</v>
      </c>
      <c r="E381" s="38">
        <v>40841</v>
      </c>
      <c r="F381" s="84" t="s">
        <v>682</v>
      </c>
      <c r="G381" s="1654"/>
      <c r="H381" s="1647"/>
      <c r="I381" s="1626"/>
      <c r="J381" s="1645"/>
      <c r="K381" s="1645"/>
      <c r="L381" s="66" t="s">
        <v>1526</v>
      </c>
      <c r="M381" s="68" t="s">
        <v>1769</v>
      </c>
      <c r="N381" s="69"/>
    </row>
    <row r="382" spans="1:14" x14ac:dyDescent="0.2">
      <c r="A382" s="78">
        <v>1083</v>
      </c>
      <c r="B382" s="68" t="s">
        <v>1770</v>
      </c>
      <c r="C382" s="1642"/>
      <c r="D382" s="66" t="s">
        <v>1079</v>
      </c>
      <c r="E382" s="38">
        <v>40841</v>
      </c>
      <c r="F382" s="84" t="s">
        <v>682</v>
      </c>
      <c r="G382" s="1654"/>
      <c r="H382" s="1647"/>
      <c r="I382" s="1626"/>
      <c r="J382" s="1645"/>
      <c r="K382" s="1645"/>
      <c r="L382" s="66" t="s">
        <v>1526</v>
      </c>
      <c r="M382" s="68" t="s">
        <v>1771</v>
      </c>
      <c r="N382" s="69"/>
    </row>
    <row r="383" spans="1:14" x14ac:dyDescent="0.2">
      <c r="A383" s="78">
        <v>1084</v>
      </c>
      <c r="B383" s="68" t="s">
        <v>1772</v>
      </c>
      <c r="C383" s="1642"/>
      <c r="D383" s="66" t="s">
        <v>1079</v>
      </c>
      <c r="E383" s="38">
        <v>40841</v>
      </c>
      <c r="F383" s="84" t="s">
        <v>682</v>
      </c>
      <c r="G383" s="1654"/>
      <c r="H383" s="1647"/>
      <c r="I383" s="1626"/>
      <c r="J383" s="1645"/>
      <c r="K383" s="1645"/>
      <c r="L383" s="66" t="s">
        <v>1526</v>
      </c>
      <c r="M383" s="68" t="s">
        <v>1773</v>
      </c>
      <c r="N383" s="69"/>
    </row>
    <row r="384" spans="1:14" x14ac:dyDescent="0.2">
      <c r="A384" s="78">
        <v>1085</v>
      </c>
      <c r="B384" s="68" t="s">
        <v>1774</v>
      </c>
      <c r="C384" s="1642"/>
      <c r="D384" s="66" t="s">
        <v>1079</v>
      </c>
      <c r="E384" s="38">
        <v>40841</v>
      </c>
      <c r="F384" s="84" t="s">
        <v>682</v>
      </c>
      <c r="G384" s="1654"/>
      <c r="H384" s="1647"/>
      <c r="I384" s="1626"/>
      <c r="J384" s="1645"/>
      <c r="K384" s="1645"/>
      <c r="L384" s="66" t="s">
        <v>1526</v>
      </c>
      <c r="M384" s="68" t="s">
        <v>1775</v>
      </c>
      <c r="N384" s="69"/>
    </row>
    <row r="385" spans="1:14" x14ac:dyDescent="0.2">
      <c r="A385" s="78">
        <v>1086</v>
      </c>
      <c r="B385" s="68" t="s">
        <v>1776</v>
      </c>
      <c r="C385" s="1642"/>
      <c r="D385" s="66" t="s">
        <v>1079</v>
      </c>
      <c r="E385" s="38">
        <v>40841</v>
      </c>
      <c r="F385" s="84" t="s">
        <v>682</v>
      </c>
      <c r="G385" s="1654"/>
      <c r="H385" s="1647"/>
      <c r="I385" s="1626"/>
      <c r="J385" s="1645"/>
      <c r="K385" s="1645"/>
      <c r="L385" s="66" t="s">
        <v>1526</v>
      </c>
      <c r="M385" s="68" t="s">
        <v>1777</v>
      </c>
      <c r="N385" s="69"/>
    </row>
    <row r="386" spans="1:14" x14ac:dyDescent="0.2">
      <c r="A386" s="78">
        <v>1087</v>
      </c>
      <c r="B386" s="68" t="s">
        <v>1778</v>
      </c>
      <c r="C386" s="1642"/>
      <c r="D386" s="66" t="s">
        <v>1079</v>
      </c>
      <c r="E386" s="38">
        <v>40841</v>
      </c>
      <c r="F386" s="84" t="s">
        <v>682</v>
      </c>
      <c r="G386" s="1654"/>
      <c r="H386" s="1647"/>
      <c r="I386" s="1626"/>
      <c r="J386" s="1645"/>
      <c r="K386" s="1645"/>
      <c r="L386" s="66" t="s">
        <v>1526</v>
      </c>
      <c r="M386" s="68" t="s">
        <v>1779</v>
      </c>
      <c r="N386" s="69"/>
    </row>
    <row r="387" spans="1:14" x14ac:dyDescent="0.2">
      <c r="A387" s="78">
        <v>1088</v>
      </c>
      <c r="B387" s="68" t="s">
        <v>1780</v>
      </c>
      <c r="C387" s="1642"/>
      <c r="D387" s="66" t="s">
        <v>1079</v>
      </c>
      <c r="E387" s="38">
        <v>40841</v>
      </c>
      <c r="F387" s="84" t="s">
        <v>682</v>
      </c>
      <c r="G387" s="1654"/>
      <c r="H387" s="1647"/>
      <c r="I387" s="1626"/>
      <c r="J387" s="1645"/>
      <c r="K387" s="1645"/>
      <c r="L387" s="66" t="s">
        <v>1526</v>
      </c>
      <c r="M387" s="68" t="s">
        <v>1781</v>
      </c>
      <c r="N387" s="69"/>
    </row>
    <row r="388" spans="1:14" x14ac:dyDescent="0.2">
      <c r="A388" s="78">
        <v>1089</v>
      </c>
      <c r="B388" s="68" t="s">
        <v>1782</v>
      </c>
      <c r="C388" s="1642"/>
      <c r="D388" s="66" t="s">
        <v>1079</v>
      </c>
      <c r="E388" s="38">
        <v>40841</v>
      </c>
      <c r="F388" s="84" t="s">
        <v>682</v>
      </c>
      <c r="G388" s="1654"/>
      <c r="H388" s="1647"/>
      <c r="I388" s="1626"/>
      <c r="J388" s="1645"/>
      <c r="K388" s="1645"/>
      <c r="L388" s="66" t="s">
        <v>1526</v>
      </c>
      <c r="M388" s="68" t="s">
        <v>1783</v>
      </c>
      <c r="N388" s="69"/>
    </row>
    <row r="389" spans="1:14" x14ac:dyDescent="0.2">
      <c r="A389" s="78">
        <v>1090</v>
      </c>
      <c r="B389" s="68" t="s">
        <v>1784</v>
      </c>
      <c r="C389" s="1643"/>
      <c r="D389" s="66" t="s">
        <v>1079</v>
      </c>
      <c r="E389" s="38">
        <v>40841</v>
      </c>
      <c r="F389" s="84" t="s">
        <v>682</v>
      </c>
      <c r="G389" s="1654"/>
      <c r="H389" s="1647"/>
      <c r="I389" s="1627"/>
      <c r="J389" s="1646"/>
      <c r="K389" s="1646"/>
      <c r="L389" s="66" t="s">
        <v>1526</v>
      </c>
      <c r="M389" s="68" t="s">
        <v>1785</v>
      </c>
      <c r="N389" s="69"/>
    </row>
    <row r="390" spans="1:14" x14ac:dyDescent="0.2">
      <c r="A390" s="78">
        <v>1091</v>
      </c>
      <c r="B390" s="68" t="s">
        <v>1786</v>
      </c>
      <c r="C390" s="1641" t="s">
        <v>1525</v>
      </c>
      <c r="D390" s="66" t="s">
        <v>1081</v>
      </c>
      <c r="E390" s="38">
        <v>40841</v>
      </c>
      <c r="F390" s="84" t="s">
        <v>682</v>
      </c>
      <c r="G390" s="1654">
        <v>10</v>
      </c>
      <c r="H390" s="1647">
        <v>10</v>
      </c>
      <c r="I390" s="1625">
        <f>COUNTIF(F390:F399,"S")</f>
        <v>10</v>
      </c>
      <c r="J390" s="1644">
        <f>I390/G390</f>
        <v>1</v>
      </c>
      <c r="K390" s="1644">
        <f>IF(I390/H390&gt;1,1,I390/H390)</f>
        <v>1</v>
      </c>
      <c r="L390" s="66" t="s">
        <v>1526</v>
      </c>
      <c r="M390" s="68" t="s">
        <v>1787</v>
      </c>
      <c r="N390" s="69"/>
    </row>
    <row r="391" spans="1:14" x14ac:dyDescent="0.2">
      <c r="A391" s="78">
        <v>1092</v>
      </c>
      <c r="B391" s="68" t="s">
        <v>1788</v>
      </c>
      <c r="C391" s="1642"/>
      <c r="D391" s="66" t="s">
        <v>1081</v>
      </c>
      <c r="E391" s="38">
        <v>40841</v>
      </c>
      <c r="F391" s="84" t="s">
        <v>682</v>
      </c>
      <c r="G391" s="1654"/>
      <c r="H391" s="1647"/>
      <c r="I391" s="1626"/>
      <c r="J391" s="1645"/>
      <c r="K391" s="1645"/>
      <c r="L391" s="66" t="s">
        <v>1526</v>
      </c>
      <c r="M391" s="68" t="s">
        <v>1789</v>
      </c>
      <c r="N391" s="69"/>
    </row>
    <row r="392" spans="1:14" x14ac:dyDescent="0.2">
      <c r="A392" s="78">
        <v>1093</v>
      </c>
      <c r="B392" s="68" t="s">
        <v>1790</v>
      </c>
      <c r="C392" s="1642"/>
      <c r="D392" s="66" t="s">
        <v>1081</v>
      </c>
      <c r="E392" s="38">
        <v>40841</v>
      </c>
      <c r="F392" s="84" t="s">
        <v>682</v>
      </c>
      <c r="G392" s="1654"/>
      <c r="H392" s="1647"/>
      <c r="I392" s="1626"/>
      <c r="J392" s="1645"/>
      <c r="K392" s="1645"/>
      <c r="L392" s="66" t="s">
        <v>1526</v>
      </c>
      <c r="M392" s="68" t="s">
        <v>1791</v>
      </c>
      <c r="N392" s="69"/>
    </row>
    <row r="393" spans="1:14" x14ac:dyDescent="0.2">
      <c r="A393" s="78">
        <v>1094</v>
      </c>
      <c r="B393" s="68" t="s">
        <v>1792</v>
      </c>
      <c r="C393" s="1642"/>
      <c r="D393" s="66" t="s">
        <v>1081</v>
      </c>
      <c r="E393" s="38">
        <v>40841</v>
      </c>
      <c r="F393" s="84" t="s">
        <v>682</v>
      </c>
      <c r="G393" s="1654"/>
      <c r="H393" s="1647"/>
      <c r="I393" s="1626"/>
      <c r="J393" s="1645"/>
      <c r="K393" s="1645"/>
      <c r="L393" s="66" t="s">
        <v>1526</v>
      </c>
      <c r="M393" s="68" t="s">
        <v>1793</v>
      </c>
      <c r="N393" s="69"/>
    </row>
    <row r="394" spans="1:14" x14ac:dyDescent="0.2">
      <c r="A394" s="78">
        <v>1095</v>
      </c>
      <c r="B394" s="68" t="s">
        <v>1794</v>
      </c>
      <c r="C394" s="1642"/>
      <c r="D394" s="66" t="s">
        <v>1081</v>
      </c>
      <c r="E394" s="38">
        <v>40841</v>
      </c>
      <c r="F394" s="84" t="s">
        <v>682</v>
      </c>
      <c r="G394" s="1654"/>
      <c r="H394" s="1647"/>
      <c r="I394" s="1626"/>
      <c r="J394" s="1645"/>
      <c r="K394" s="1645"/>
      <c r="L394" s="66" t="s">
        <v>1526</v>
      </c>
      <c r="M394" s="68" t="s">
        <v>1795</v>
      </c>
      <c r="N394" s="69"/>
    </row>
    <row r="395" spans="1:14" x14ac:dyDescent="0.2">
      <c r="A395" s="78">
        <v>1096</v>
      </c>
      <c r="B395" s="68" t="s">
        <v>1796</v>
      </c>
      <c r="C395" s="1642"/>
      <c r="D395" s="66" t="s">
        <v>1081</v>
      </c>
      <c r="E395" s="38">
        <v>40841</v>
      </c>
      <c r="F395" s="84" t="s">
        <v>682</v>
      </c>
      <c r="G395" s="1654"/>
      <c r="H395" s="1647"/>
      <c r="I395" s="1626"/>
      <c r="J395" s="1645"/>
      <c r="K395" s="1645"/>
      <c r="L395" s="66" t="s">
        <v>1526</v>
      </c>
      <c r="M395" s="68" t="s">
        <v>1797</v>
      </c>
      <c r="N395" s="69"/>
    </row>
    <row r="396" spans="1:14" x14ac:dyDescent="0.2">
      <c r="A396" s="78">
        <v>1097</v>
      </c>
      <c r="B396" s="68" t="s">
        <v>1798</v>
      </c>
      <c r="C396" s="1642"/>
      <c r="D396" s="66" t="s">
        <v>1081</v>
      </c>
      <c r="E396" s="38">
        <v>40841</v>
      </c>
      <c r="F396" s="84" t="s">
        <v>682</v>
      </c>
      <c r="G396" s="1654"/>
      <c r="H396" s="1647"/>
      <c r="I396" s="1626"/>
      <c r="J396" s="1645"/>
      <c r="K396" s="1645"/>
      <c r="L396" s="66" t="s">
        <v>1526</v>
      </c>
      <c r="M396" s="68" t="s">
        <v>1799</v>
      </c>
      <c r="N396" s="69"/>
    </row>
    <row r="397" spans="1:14" x14ac:dyDescent="0.2">
      <c r="A397" s="78">
        <v>1098</v>
      </c>
      <c r="B397" s="68" t="s">
        <v>1800</v>
      </c>
      <c r="C397" s="1642"/>
      <c r="D397" s="66" t="s">
        <v>1081</v>
      </c>
      <c r="E397" s="38">
        <v>40841</v>
      </c>
      <c r="F397" s="84" t="s">
        <v>682</v>
      </c>
      <c r="G397" s="1654"/>
      <c r="H397" s="1647"/>
      <c r="I397" s="1626"/>
      <c r="J397" s="1645"/>
      <c r="K397" s="1645"/>
      <c r="L397" s="66" t="s">
        <v>1526</v>
      </c>
      <c r="M397" s="68" t="s">
        <v>1801</v>
      </c>
      <c r="N397" s="69"/>
    </row>
    <row r="398" spans="1:14" x14ac:dyDescent="0.2">
      <c r="A398" s="78">
        <v>1099</v>
      </c>
      <c r="B398" s="68" t="s">
        <v>1802</v>
      </c>
      <c r="C398" s="1642"/>
      <c r="D398" s="66" t="s">
        <v>1081</v>
      </c>
      <c r="E398" s="38">
        <v>40841</v>
      </c>
      <c r="F398" s="84" t="s">
        <v>682</v>
      </c>
      <c r="G398" s="1654"/>
      <c r="H398" s="1647"/>
      <c r="I398" s="1626"/>
      <c r="J398" s="1645"/>
      <c r="K398" s="1645"/>
      <c r="L398" s="66" t="s">
        <v>1526</v>
      </c>
      <c r="M398" s="68" t="s">
        <v>1803</v>
      </c>
      <c r="N398" s="69"/>
    </row>
    <row r="399" spans="1:14" x14ac:dyDescent="0.2">
      <c r="A399" s="78">
        <v>1100</v>
      </c>
      <c r="B399" s="68" t="s">
        <v>1804</v>
      </c>
      <c r="C399" s="1643"/>
      <c r="D399" s="66" t="s">
        <v>1081</v>
      </c>
      <c r="E399" s="38">
        <v>40841</v>
      </c>
      <c r="F399" s="84" t="s">
        <v>682</v>
      </c>
      <c r="G399" s="1654"/>
      <c r="H399" s="1647"/>
      <c r="I399" s="1627"/>
      <c r="J399" s="1646"/>
      <c r="K399" s="1646"/>
      <c r="L399" s="66" t="s">
        <v>1526</v>
      </c>
      <c r="M399" s="68" t="s">
        <v>1805</v>
      </c>
      <c r="N399" s="69"/>
    </row>
    <row r="400" spans="1:14" x14ac:dyDescent="0.2">
      <c r="A400" s="78">
        <v>1101</v>
      </c>
      <c r="B400" s="68" t="s">
        <v>1806</v>
      </c>
      <c r="C400" s="1641" t="s">
        <v>1525</v>
      </c>
      <c r="D400" s="66" t="s">
        <v>1083</v>
      </c>
      <c r="E400" s="38">
        <v>40972</v>
      </c>
      <c r="F400" s="84" t="s">
        <v>682</v>
      </c>
      <c r="G400" s="1654">
        <v>10</v>
      </c>
      <c r="H400" s="1647">
        <v>10</v>
      </c>
      <c r="I400" s="1625">
        <f>COUNTIF(F400:F409,"S")</f>
        <v>10</v>
      </c>
      <c r="J400" s="1644">
        <f>I400/G400</f>
        <v>1</v>
      </c>
      <c r="K400" s="1644">
        <f>IF(I400/H400&gt;1,1,I400/H400)</f>
        <v>1</v>
      </c>
      <c r="L400" s="66" t="s">
        <v>1526</v>
      </c>
      <c r="M400" s="68" t="s">
        <v>1807</v>
      </c>
      <c r="N400" s="69"/>
    </row>
    <row r="401" spans="1:14" x14ac:dyDescent="0.2">
      <c r="A401" s="78">
        <v>1102</v>
      </c>
      <c r="B401" s="68" t="s">
        <v>1808</v>
      </c>
      <c r="C401" s="1642"/>
      <c r="D401" s="66" t="s">
        <v>1083</v>
      </c>
      <c r="E401" s="38">
        <v>40972</v>
      </c>
      <c r="F401" s="84" t="s">
        <v>682</v>
      </c>
      <c r="G401" s="1654"/>
      <c r="H401" s="1647"/>
      <c r="I401" s="1626"/>
      <c r="J401" s="1645"/>
      <c r="K401" s="1645"/>
      <c r="L401" s="66" t="s">
        <v>1526</v>
      </c>
      <c r="M401" s="68" t="s">
        <v>1809</v>
      </c>
      <c r="N401" s="69"/>
    </row>
    <row r="402" spans="1:14" x14ac:dyDescent="0.2">
      <c r="A402" s="78">
        <v>1103</v>
      </c>
      <c r="B402" s="68" t="s">
        <v>1810</v>
      </c>
      <c r="C402" s="1642"/>
      <c r="D402" s="66" t="s">
        <v>1083</v>
      </c>
      <c r="E402" s="38">
        <v>40972</v>
      </c>
      <c r="F402" s="84" t="s">
        <v>682</v>
      </c>
      <c r="G402" s="1654"/>
      <c r="H402" s="1647"/>
      <c r="I402" s="1626"/>
      <c r="J402" s="1645"/>
      <c r="K402" s="1645"/>
      <c r="L402" s="66" t="s">
        <v>1526</v>
      </c>
      <c r="M402" s="68" t="s">
        <v>1811</v>
      </c>
      <c r="N402" s="69"/>
    </row>
    <row r="403" spans="1:14" x14ac:dyDescent="0.2">
      <c r="A403" s="78">
        <v>1104</v>
      </c>
      <c r="B403" s="68" t="s">
        <v>1812</v>
      </c>
      <c r="C403" s="1642"/>
      <c r="D403" s="66" t="s">
        <v>1083</v>
      </c>
      <c r="E403" s="38">
        <v>40972</v>
      </c>
      <c r="F403" s="84" t="s">
        <v>682</v>
      </c>
      <c r="G403" s="1654"/>
      <c r="H403" s="1647"/>
      <c r="I403" s="1626"/>
      <c r="J403" s="1645"/>
      <c r="K403" s="1645"/>
      <c r="L403" s="66" t="s">
        <v>1526</v>
      </c>
      <c r="M403" s="68" t="s">
        <v>1813</v>
      </c>
      <c r="N403" s="69"/>
    </row>
    <row r="404" spans="1:14" x14ac:dyDescent="0.2">
      <c r="A404" s="78">
        <v>1105</v>
      </c>
      <c r="B404" s="68" t="s">
        <v>1814</v>
      </c>
      <c r="C404" s="1642"/>
      <c r="D404" s="66" t="s">
        <v>1083</v>
      </c>
      <c r="E404" s="38">
        <v>40972</v>
      </c>
      <c r="F404" s="84" t="s">
        <v>682</v>
      </c>
      <c r="G404" s="1654"/>
      <c r="H404" s="1647"/>
      <c r="I404" s="1626"/>
      <c r="J404" s="1645"/>
      <c r="K404" s="1645"/>
      <c r="L404" s="66" t="s">
        <v>1526</v>
      </c>
      <c r="M404" s="68" t="s">
        <v>1815</v>
      </c>
      <c r="N404" s="69"/>
    </row>
    <row r="405" spans="1:14" x14ac:dyDescent="0.2">
      <c r="A405" s="78">
        <v>1106</v>
      </c>
      <c r="B405" s="68" t="s">
        <v>1816</v>
      </c>
      <c r="C405" s="1642"/>
      <c r="D405" s="66" t="s">
        <v>1083</v>
      </c>
      <c r="E405" s="38">
        <v>40972</v>
      </c>
      <c r="F405" s="84" t="s">
        <v>682</v>
      </c>
      <c r="G405" s="1654"/>
      <c r="H405" s="1647"/>
      <c r="I405" s="1626"/>
      <c r="J405" s="1645"/>
      <c r="K405" s="1645"/>
      <c r="L405" s="66" t="s">
        <v>1526</v>
      </c>
      <c r="M405" s="68" t="s">
        <v>1817</v>
      </c>
      <c r="N405" s="69"/>
    </row>
    <row r="406" spans="1:14" x14ac:dyDescent="0.2">
      <c r="A406" s="78">
        <v>1107</v>
      </c>
      <c r="B406" s="68" t="s">
        <v>1818</v>
      </c>
      <c r="C406" s="1642"/>
      <c r="D406" s="66" t="s">
        <v>1083</v>
      </c>
      <c r="E406" s="38">
        <v>40972</v>
      </c>
      <c r="F406" s="84" t="s">
        <v>682</v>
      </c>
      <c r="G406" s="1654"/>
      <c r="H406" s="1647"/>
      <c r="I406" s="1626"/>
      <c r="J406" s="1645"/>
      <c r="K406" s="1645"/>
      <c r="L406" s="66" t="s">
        <v>1526</v>
      </c>
      <c r="M406" s="68" t="s">
        <v>1819</v>
      </c>
      <c r="N406" s="69"/>
    </row>
    <row r="407" spans="1:14" x14ac:dyDescent="0.2">
      <c r="A407" s="78">
        <v>1108</v>
      </c>
      <c r="B407" s="68" t="s">
        <v>1820</v>
      </c>
      <c r="C407" s="1642"/>
      <c r="D407" s="66" t="s">
        <v>1083</v>
      </c>
      <c r="E407" s="38">
        <v>40972</v>
      </c>
      <c r="F407" s="84" t="s">
        <v>682</v>
      </c>
      <c r="G407" s="1654"/>
      <c r="H407" s="1647"/>
      <c r="I407" s="1626"/>
      <c r="J407" s="1645"/>
      <c r="K407" s="1645"/>
      <c r="L407" s="66" t="s">
        <v>1526</v>
      </c>
      <c r="M407" s="68" t="s">
        <v>1821</v>
      </c>
      <c r="N407" s="69"/>
    </row>
    <row r="408" spans="1:14" x14ac:dyDescent="0.2">
      <c r="A408" s="78">
        <v>1109</v>
      </c>
      <c r="B408" s="68" t="s">
        <v>1822</v>
      </c>
      <c r="C408" s="1642"/>
      <c r="D408" s="66" t="s">
        <v>1083</v>
      </c>
      <c r="E408" s="38">
        <v>40972</v>
      </c>
      <c r="F408" s="84" t="s">
        <v>682</v>
      </c>
      <c r="G408" s="1654"/>
      <c r="H408" s="1647"/>
      <c r="I408" s="1626"/>
      <c r="J408" s="1645"/>
      <c r="K408" s="1645"/>
      <c r="L408" s="66" t="s">
        <v>1526</v>
      </c>
      <c r="M408" s="68" t="s">
        <v>1823</v>
      </c>
      <c r="N408" s="69"/>
    </row>
    <row r="409" spans="1:14" x14ac:dyDescent="0.2">
      <c r="A409" s="78">
        <v>1110</v>
      </c>
      <c r="B409" s="68" t="s">
        <v>1824</v>
      </c>
      <c r="C409" s="1643"/>
      <c r="D409" s="66" t="s">
        <v>1083</v>
      </c>
      <c r="E409" s="38">
        <v>40972</v>
      </c>
      <c r="F409" s="84" t="s">
        <v>682</v>
      </c>
      <c r="G409" s="1654"/>
      <c r="H409" s="1647"/>
      <c r="I409" s="1627"/>
      <c r="J409" s="1646"/>
      <c r="K409" s="1646"/>
      <c r="L409" s="66" t="s">
        <v>1526</v>
      </c>
      <c r="M409" s="68" t="s">
        <v>1825</v>
      </c>
      <c r="N409" s="69"/>
    </row>
    <row r="410" spans="1:14" x14ac:dyDescent="0.2">
      <c r="A410" s="78">
        <v>1111</v>
      </c>
      <c r="B410" s="68" t="s">
        <v>1826</v>
      </c>
      <c r="C410" s="1641" t="s">
        <v>1525</v>
      </c>
      <c r="D410" s="66" t="s">
        <v>1085</v>
      </c>
      <c r="E410" s="38">
        <v>40972</v>
      </c>
      <c r="F410" s="84" t="s">
        <v>682</v>
      </c>
      <c r="G410" s="1654">
        <v>10</v>
      </c>
      <c r="H410" s="1647">
        <v>10</v>
      </c>
      <c r="I410" s="1625">
        <f>COUNTIF(F410:F419,"S")</f>
        <v>10</v>
      </c>
      <c r="J410" s="1644">
        <f>I410/G410</f>
        <v>1</v>
      </c>
      <c r="K410" s="1644">
        <f>IF(I410/H410&gt;1,1,I410/H410)</f>
        <v>1</v>
      </c>
      <c r="L410" s="66" t="s">
        <v>1526</v>
      </c>
      <c r="M410" s="68" t="s">
        <v>1827</v>
      </c>
      <c r="N410" s="69"/>
    </row>
    <row r="411" spans="1:14" x14ac:dyDescent="0.2">
      <c r="A411" s="78">
        <v>1112</v>
      </c>
      <c r="B411" s="68" t="s">
        <v>1828</v>
      </c>
      <c r="C411" s="1642"/>
      <c r="D411" s="66" t="s">
        <v>1085</v>
      </c>
      <c r="E411" s="38">
        <v>40972</v>
      </c>
      <c r="F411" s="84" t="s">
        <v>682</v>
      </c>
      <c r="G411" s="1654"/>
      <c r="H411" s="1647"/>
      <c r="I411" s="1626"/>
      <c r="J411" s="1645"/>
      <c r="K411" s="1645"/>
      <c r="L411" s="66" t="s">
        <v>1526</v>
      </c>
      <c r="M411" s="68" t="s">
        <v>1829</v>
      </c>
      <c r="N411" s="69"/>
    </row>
    <row r="412" spans="1:14" x14ac:dyDescent="0.2">
      <c r="A412" s="78">
        <v>1113</v>
      </c>
      <c r="B412" s="68" t="s">
        <v>1830</v>
      </c>
      <c r="C412" s="1642"/>
      <c r="D412" s="66" t="s">
        <v>1085</v>
      </c>
      <c r="E412" s="38">
        <v>40972</v>
      </c>
      <c r="F412" s="84" t="s">
        <v>682</v>
      </c>
      <c r="G412" s="1654"/>
      <c r="H412" s="1647"/>
      <c r="I412" s="1626"/>
      <c r="J412" s="1645"/>
      <c r="K412" s="1645"/>
      <c r="L412" s="66" t="s">
        <v>1526</v>
      </c>
      <c r="M412" s="68" t="s">
        <v>1831</v>
      </c>
      <c r="N412" s="69"/>
    </row>
    <row r="413" spans="1:14" x14ac:dyDescent="0.2">
      <c r="A413" s="78">
        <v>1114</v>
      </c>
      <c r="B413" s="68" t="s">
        <v>1832</v>
      </c>
      <c r="C413" s="1642"/>
      <c r="D413" s="66" t="s">
        <v>1085</v>
      </c>
      <c r="E413" s="38">
        <v>40972</v>
      </c>
      <c r="F413" s="84" t="s">
        <v>682</v>
      </c>
      <c r="G413" s="1654"/>
      <c r="H413" s="1647"/>
      <c r="I413" s="1626"/>
      <c r="J413" s="1645"/>
      <c r="K413" s="1645"/>
      <c r="L413" s="66" t="s">
        <v>1526</v>
      </c>
      <c r="M413" s="68" t="s">
        <v>1833</v>
      </c>
      <c r="N413" s="69"/>
    </row>
    <row r="414" spans="1:14" x14ac:dyDescent="0.2">
      <c r="A414" s="78">
        <v>1115</v>
      </c>
      <c r="B414" s="68" t="s">
        <v>1834</v>
      </c>
      <c r="C414" s="1642"/>
      <c r="D414" s="66" t="s">
        <v>1085</v>
      </c>
      <c r="E414" s="38">
        <v>40972</v>
      </c>
      <c r="F414" s="84" t="s">
        <v>682</v>
      </c>
      <c r="G414" s="1654"/>
      <c r="H414" s="1647"/>
      <c r="I414" s="1626"/>
      <c r="J414" s="1645"/>
      <c r="K414" s="1645"/>
      <c r="L414" s="66" t="s">
        <v>1526</v>
      </c>
      <c r="M414" s="68" t="s">
        <v>1835</v>
      </c>
      <c r="N414" s="69"/>
    </row>
    <row r="415" spans="1:14" x14ac:dyDescent="0.2">
      <c r="A415" s="78">
        <v>1116</v>
      </c>
      <c r="B415" s="68" t="s">
        <v>1836</v>
      </c>
      <c r="C415" s="1642"/>
      <c r="D415" s="66" t="s">
        <v>1085</v>
      </c>
      <c r="E415" s="38">
        <v>40972</v>
      </c>
      <c r="F415" s="84" t="s">
        <v>682</v>
      </c>
      <c r="G415" s="1654"/>
      <c r="H415" s="1647"/>
      <c r="I415" s="1626"/>
      <c r="J415" s="1645"/>
      <c r="K415" s="1645"/>
      <c r="L415" s="66" t="s">
        <v>1526</v>
      </c>
      <c r="M415" s="68" t="s">
        <v>1837</v>
      </c>
      <c r="N415" s="69"/>
    </row>
    <row r="416" spans="1:14" x14ac:dyDescent="0.2">
      <c r="A416" s="78">
        <v>1117</v>
      </c>
      <c r="B416" s="68" t="s">
        <v>1838</v>
      </c>
      <c r="C416" s="1642"/>
      <c r="D416" s="66" t="s">
        <v>1085</v>
      </c>
      <c r="E416" s="38">
        <v>40972</v>
      </c>
      <c r="F416" s="84" t="s">
        <v>682</v>
      </c>
      <c r="G416" s="1654"/>
      <c r="H416" s="1647"/>
      <c r="I416" s="1626"/>
      <c r="J416" s="1645"/>
      <c r="K416" s="1645"/>
      <c r="L416" s="66" t="s">
        <v>1526</v>
      </c>
      <c r="M416" s="68" t="s">
        <v>1839</v>
      </c>
      <c r="N416" s="69"/>
    </row>
    <row r="417" spans="1:14" x14ac:dyDescent="0.2">
      <c r="A417" s="78">
        <v>1118</v>
      </c>
      <c r="B417" s="68" t="s">
        <v>1840</v>
      </c>
      <c r="C417" s="1642"/>
      <c r="D417" s="66" t="s">
        <v>1085</v>
      </c>
      <c r="E417" s="38">
        <v>40972</v>
      </c>
      <c r="F417" s="84" t="s">
        <v>682</v>
      </c>
      <c r="G417" s="1654"/>
      <c r="H417" s="1647"/>
      <c r="I417" s="1626"/>
      <c r="J417" s="1645"/>
      <c r="K417" s="1645"/>
      <c r="L417" s="66" t="s">
        <v>1526</v>
      </c>
      <c r="M417" s="68" t="s">
        <v>1841</v>
      </c>
      <c r="N417" s="69"/>
    </row>
    <row r="418" spans="1:14" x14ac:dyDescent="0.2">
      <c r="A418" s="78">
        <v>1119</v>
      </c>
      <c r="B418" s="68" t="s">
        <v>1842</v>
      </c>
      <c r="C418" s="1642"/>
      <c r="D418" s="66" t="s">
        <v>1085</v>
      </c>
      <c r="E418" s="38">
        <v>40972</v>
      </c>
      <c r="F418" s="84" t="s">
        <v>682</v>
      </c>
      <c r="G418" s="1654"/>
      <c r="H418" s="1647"/>
      <c r="I418" s="1626"/>
      <c r="J418" s="1645"/>
      <c r="K418" s="1645"/>
      <c r="L418" s="66" t="s">
        <v>1526</v>
      </c>
      <c r="M418" s="68" t="s">
        <v>1843</v>
      </c>
      <c r="N418" s="69"/>
    </row>
    <row r="419" spans="1:14" x14ac:dyDescent="0.2">
      <c r="A419" s="78">
        <v>1120</v>
      </c>
      <c r="B419" s="68" t="s">
        <v>1844</v>
      </c>
      <c r="C419" s="1643"/>
      <c r="D419" s="66" t="s">
        <v>1085</v>
      </c>
      <c r="E419" s="38">
        <v>40972</v>
      </c>
      <c r="F419" s="84" t="s">
        <v>682</v>
      </c>
      <c r="G419" s="1654"/>
      <c r="H419" s="1647"/>
      <c r="I419" s="1627"/>
      <c r="J419" s="1646"/>
      <c r="K419" s="1646"/>
      <c r="L419" s="66" t="s">
        <v>1526</v>
      </c>
      <c r="M419" s="68" t="s">
        <v>1845</v>
      </c>
      <c r="N419" s="69"/>
    </row>
    <row r="420" spans="1:14" x14ac:dyDescent="0.2">
      <c r="A420" s="78">
        <v>1121</v>
      </c>
      <c r="B420" s="68" t="s">
        <v>1846</v>
      </c>
      <c r="C420" s="1641" t="s">
        <v>1525</v>
      </c>
      <c r="D420" s="66" t="s">
        <v>1088</v>
      </c>
      <c r="E420" s="38">
        <v>40972</v>
      </c>
      <c r="F420" s="84" t="s">
        <v>682</v>
      </c>
      <c r="G420" s="1654">
        <v>10</v>
      </c>
      <c r="H420" s="1647">
        <v>10</v>
      </c>
      <c r="I420" s="1625">
        <f>COUNTIF(F420:F429,"S")</f>
        <v>10</v>
      </c>
      <c r="J420" s="1644">
        <f>I420/G420</f>
        <v>1</v>
      </c>
      <c r="K420" s="1644">
        <f>IF(I420/H420&gt;1,1,I420/H420)</f>
        <v>1</v>
      </c>
      <c r="L420" s="66" t="s">
        <v>1526</v>
      </c>
      <c r="M420" s="68" t="s">
        <v>1847</v>
      </c>
      <c r="N420" s="69"/>
    </row>
    <row r="421" spans="1:14" x14ac:dyDescent="0.2">
      <c r="A421" s="78">
        <v>1122</v>
      </c>
      <c r="B421" s="68" t="s">
        <v>1848</v>
      </c>
      <c r="C421" s="1642"/>
      <c r="D421" s="66" t="s">
        <v>1088</v>
      </c>
      <c r="E421" s="38">
        <v>40972</v>
      </c>
      <c r="F421" s="84" t="s">
        <v>682</v>
      </c>
      <c r="G421" s="1654"/>
      <c r="H421" s="1647"/>
      <c r="I421" s="1626"/>
      <c r="J421" s="1645"/>
      <c r="K421" s="1645"/>
      <c r="L421" s="66" t="s">
        <v>1526</v>
      </c>
      <c r="M421" s="68" t="s">
        <v>1849</v>
      </c>
      <c r="N421" s="69"/>
    </row>
    <row r="422" spans="1:14" x14ac:dyDescent="0.2">
      <c r="A422" s="78">
        <v>1123</v>
      </c>
      <c r="B422" s="68" t="s">
        <v>1850</v>
      </c>
      <c r="C422" s="1642"/>
      <c r="D422" s="66" t="s">
        <v>1088</v>
      </c>
      <c r="E422" s="38">
        <v>40972</v>
      </c>
      <c r="F422" s="84" t="s">
        <v>682</v>
      </c>
      <c r="G422" s="1654"/>
      <c r="H422" s="1647"/>
      <c r="I422" s="1626"/>
      <c r="J422" s="1645"/>
      <c r="K422" s="1645"/>
      <c r="L422" s="66" t="s">
        <v>1526</v>
      </c>
      <c r="M422" s="68" t="s">
        <v>1851</v>
      </c>
      <c r="N422" s="69"/>
    </row>
    <row r="423" spans="1:14" x14ac:dyDescent="0.2">
      <c r="A423" s="78">
        <v>1124</v>
      </c>
      <c r="B423" s="68" t="s">
        <v>1852</v>
      </c>
      <c r="C423" s="1642"/>
      <c r="D423" s="66" t="s">
        <v>1088</v>
      </c>
      <c r="E423" s="38">
        <v>40972</v>
      </c>
      <c r="F423" s="84" t="s">
        <v>682</v>
      </c>
      <c r="G423" s="1654"/>
      <c r="H423" s="1647"/>
      <c r="I423" s="1626"/>
      <c r="J423" s="1645"/>
      <c r="K423" s="1645"/>
      <c r="L423" s="66" t="s">
        <v>1526</v>
      </c>
      <c r="M423" s="68" t="s">
        <v>1853</v>
      </c>
      <c r="N423" s="69"/>
    </row>
    <row r="424" spans="1:14" x14ac:dyDescent="0.2">
      <c r="A424" s="78">
        <v>1125</v>
      </c>
      <c r="B424" s="68" t="s">
        <v>1854</v>
      </c>
      <c r="C424" s="1642"/>
      <c r="D424" s="66" t="s">
        <v>1088</v>
      </c>
      <c r="E424" s="38">
        <v>40972</v>
      </c>
      <c r="F424" s="84" t="s">
        <v>682</v>
      </c>
      <c r="G424" s="1654"/>
      <c r="H424" s="1647"/>
      <c r="I424" s="1626"/>
      <c r="J424" s="1645"/>
      <c r="K424" s="1645"/>
      <c r="L424" s="66" t="s">
        <v>1526</v>
      </c>
      <c r="M424" s="68" t="s">
        <v>1855</v>
      </c>
      <c r="N424" s="69"/>
    </row>
    <row r="425" spans="1:14" x14ac:dyDescent="0.2">
      <c r="A425" s="78">
        <v>1126</v>
      </c>
      <c r="B425" s="68" t="s">
        <v>1856</v>
      </c>
      <c r="C425" s="1642"/>
      <c r="D425" s="66" t="s">
        <v>1088</v>
      </c>
      <c r="E425" s="38">
        <v>40972</v>
      </c>
      <c r="F425" s="84" t="s">
        <v>682</v>
      </c>
      <c r="G425" s="1654"/>
      <c r="H425" s="1647"/>
      <c r="I425" s="1626"/>
      <c r="J425" s="1645"/>
      <c r="K425" s="1645"/>
      <c r="L425" s="66" t="s">
        <v>1526</v>
      </c>
      <c r="M425" s="68" t="s">
        <v>1857</v>
      </c>
      <c r="N425" s="69"/>
    </row>
    <row r="426" spans="1:14" x14ac:dyDescent="0.2">
      <c r="A426" s="78">
        <v>1127</v>
      </c>
      <c r="B426" s="68" t="s">
        <v>1858</v>
      </c>
      <c r="C426" s="1642"/>
      <c r="D426" s="66" t="s">
        <v>1088</v>
      </c>
      <c r="E426" s="38">
        <v>40972</v>
      </c>
      <c r="F426" s="84" t="s">
        <v>682</v>
      </c>
      <c r="G426" s="1654"/>
      <c r="H426" s="1647"/>
      <c r="I426" s="1626"/>
      <c r="J426" s="1645"/>
      <c r="K426" s="1645"/>
      <c r="L426" s="66" t="s">
        <v>1526</v>
      </c>
      <c r="M426" s="68" t="s">
        <v>1859</v>
      </c>
      <c r="N426" s="69"/>
    </row>
    <row r="427" spans="1:14" x14ac:dyDescent="0.2">
      <c r="A427" s="78">
        <v>1128</v>
      </c>
      <c r="B427" s="68" t="s">
        <v>1860</v>
      </c>
      <c r="C427" s="1642"/>
      <c r="D427" s="66" t="s">
        <v>1088</v>
      </c>
      <c r="E427" s="38">
        <v>40972</v>
      </c>
      <c r="F427" s="84" t="s">
        <v>682</v>
      </c>
      <c r="G427" s="1654"/>
      <c r="H427" s="1647"/>
      <c r="I427" s="1626"/>
      <c r="J427" s="1645"/>
      <c r="K427" s="1645"/>
      <c r="L427" s="66" t="s">
        <v>1526</v>
      </c>
      <c r="M427" s="68" t="s">
        <v>1861</v>
      </c>
      <c r="N427" s="69"/>
    </row>
    <row r="428" spans="1:14" x14ac:dyDescent="0.2">
      <c r="A428" s="78">
        <v>1129</v>
      </c>
      <c r="B428" s="68" t="s">
        <v>1862</v>
      </c>
      <c r="C428" s="1642"/>
      <c r="D428" s="66" t="s">
        <v>1088</v>
      </c>
      <c r="E428" s="38">
        <v>40972</v>
      </c>
      <c r="F428" s="84" t="s">
        <v>682</v>
      </c>
      <c r="G428" s="1654"/>
      <c r="H428" s="1647"/>
      <c r="I428" s="1626"/>
      <c r="J428" s="1645"/>
      <c r="K428" s="1645"/>
      <c r="L428" s="66" t="s">
        <v>1526</v>
      </c>
      <c r="M428" s="68" t="s">
        <v>1863</v>
      </c>
      <c r="N428" s="69"/>
    </row>
    <row r="429" spans="1:14" x14ac:dyDescent="0.2">
      <c r="A429" s="78">
        <v>1130</v>
      </c>
      <c r="B429" s="68" t="s">
        <v>1864</v>
      </c>
      <c r="C429" s="1643"/>
      <c r="D429" s="66" t="s">
        <v>1088</v>
      </c>
      <c r="E429" s="38">
        <v>40972</v>
      </c>
      <c r="F429" s="84" t="s">
        <v>682</v>
      </c>
      <c r="G429" s="1654"/>
      <c r="H429" s="1647"/>
      <c r="I429" s="1627"/>
      <c r="J429" s="1646"/>
      <c r="K429" s="1646"/>
      <c r="L429" s="66" t="s">
        <v>1526</v>
      </c>
      <c r="M429" s="68" t="s">
        <v>1865</v>
      </c>
      <c r="N429" s="69"/>
    </row>
    <row r="430" spans="1:14" x14ac:dyDescent="0.2">
      <c r="A430" s="78">
        <v>1131</v>
      </c>
      <c r="B430" s="68" t="s">
        <v>1866</v>
      </c>
      <c r="C430" s="1641" t="s">
        <v>1525</v>
      </c>
      <c r="D430" s="66" t="s">
        <v>1090</v>
      </c>
      <c r="E430" s="38">
        <v>40972</v>
      </c>
      <c r="F430" s="84" t="s">
        <v>682</v>
      </c>
      <c r="G430" s="1654">
        <v>10</v>
      </c>
      <c r="H430" s="1647">
        <v>10</v>
      </c>
      <c r="I430" s="1625">
        <f>COUNTIF(F430:F439,"S")</f>
        <v>10</v>
      </c>
      <c r="J430" s="1644">
        <f>I430/G430</f>
        <v>1</v>
      </c>
      <c r="K430" s="1644">
        <f>IF(I430/H430&gt;1,1,I430/H430)</f>
        <v>1</v>
      </c>
      <c r="L430" s="66" t="s">
        <v>1526</v>
      </c>
      <c r="M430" s="68" t="s">
        <v>1867</v>
      </c>
      <c r="N430" s="69"/>
    </row>
    <row r="431" spans="1:14" x14ac:dyDescent="0.2">
      <c r="A431" s="78">
        <v>1132</v>
      </c>
      <c r="B431" s="68" t="s">
        <v>1868</v>
      </c>
      <c r="C431" s="1642"/>
      <c r="D431" s="66" t="s">
        <v>1090</v>
      </c>
      <c r="E431" s="38">
        <v>40972</v>
      </c>
      <c r="F431" s="84" t="s">
        <v>682</v>
      </c>
      <c r="G431" s="1654"/>
      <c r="H431" s="1647"/>
      <c r="I431" s="1626"/>
      <c r="J431" s="1645"/>
      <c r="K431" s="1645"/>
      <c r="L431" s="66" t="s">
        <v>1526</v>
      </c>
      <c r="M431" s="68" t="s">
        <v>1869</v>
      </c>
      <c r="N431" s="69"/>
    </row>
    <row r="432" spans="1:14" x14ac:dyDescent="0.2">
      <c r="A432" s="78">
        <v>1133</v>
      </c>
      <c r="B432" s="68" t="s">
        <v>1870</v>
      </c>
      <c r="C432" s="1642"/>
      <c r="D432" s="66" t="s">
        <v>1090</v>
      </c>
      <c r="E432" s="38">
        <v>40972</v>
      </c>
      <c r="F432" s="84" t="s">
        <v>682</v>
      </c>
      <c r="G432" s="1654"/>
      <c r="H432" s="1647"/>
      <c r="I432" s="1626"/>
      <c r="J432" s="1645"/>
      <c r="K432" s="1645"/>
      <c r="L432" s="66" t="s">
        <v>1526</v>
      </c>
      <c r="M432" s="68" t="s">
        <v>1871</v>
      </c>
      <c r="N432" s="69"/>
    </row>
    <row r="433" spans="1:14" x14ac:dyDescent="0.2">
      <c r="A433" s="78">
        <v>1134</v>
      </c>
      <c r="B433" s="68" t="s">
        <v>1872</v>
      </c>
      <c r="C433" s="1642"/>
      <c r="D433" s="66" t="s">
        <v>1090</v>
      </c>
      <c r="E433" s="38">
        <v>40972</v>
      </c>
      <c r="F433" s="84" t="s">
        <v>682</v>
      </c>
      <c r="G433" s="1654"/>
      <c r="H433" s="1647"/>
      <c r="I433" s="1626"/>
      <c r="J433" s="1645"/>
      <c r="K433" s="1645"/>
      <c r="L433" s="66" t="s">
        <v>1526</v>
      </c>
      <c r="M433" s="68" t="s">
        <v>1873</v>
      </c>
      <c r="N433" s="69"/>
    </row>
    <row r="434" spans="1:14" x14ac:dyDescent="0.2">
      <c r="A434" s="78">
        <v>1135</v>
      </c>
      <c r="B434" s="68" t="s">
        <v>1874</v>
      </c>
      <c r="C434" s="1642"/>
      <c r="D434" s="66" t="s">
        <v>1090</v>
      </c>
      <c r="E434" s="38">
        <v>40972</v>
      </c>
      <c r="F434" s="84" t="s">
        <v>682</v>
      </c>
      <c r="G434" s="1654"/>
      <c r="H434" s="1647"/>
      <c r="I434" s="1626"/>
      <c r="J434" s="1645"/>
      <c r="K434" s="1645"/>
      <c r="L434" s="66" t="s">
        <v>1526</v>
      </c>
      <c r="M434" s="68" t="s">
        <v>1875</v>
      </c>
      <c r="N434" s="69"/>
    </row>
    <row r="435" spans="1:14" x14ac:dyDescent="0.2">
      <c r="A435" s="78">
        <v>1136</v>
      </c>
      <c r="B435" s="68" t="s">
        <v>1876</v>
      </c>
      <c r="C435" s="1642"/>
      <c r="D435" s="66" t="s">
        <v>1090</v>
      </c>
      <c r="E435" s="38">
        <v>40972</v>
      </c>
      <c r="F435" s="84" t="s">
        <v>682</v>
      </c>
      <c r="G435" s="1654"/>
      <c r="H435" s="1647"/>
      <c r="I435" s="1626"/>
      <c r="J435" s="1645"/>
      <c r="K435" s="1645"/>
      <c r="L435" s="66" t="s">
        <v>1526</v>
      </c>
      <c r="M435" s="68" t="s">
        <v>1877</v>
      </c>
      <c r="N435" s="69"/>
    </row>
    <row r="436" spans="1:14" x14ac:dyDescent="0.2">
      <c r="A436" s="78">
        <v>1137</v>
      </c>
      <c r="B436" s="68" t="s">
        <v>1878</v>
      </c>
      <c r="C436" s="1642"/>
      <c r="D436" s="66" t="s">
        <v>1090</v>
      </c>
      <c r="E436" s="38">
        <v>40972</v>
      </c>
      <c r="F436" s="84" t="s">
        <v>682</v>
      </c>
      <c r="G436" s="1654"/>
      <c r="H436" s="1647"/>
      <c r="I436" s="1626"/>
      <c r="J436" s="1645"/>
      <c r="K436" s="1645"/>
      <c r="L436" s="66" t="s">
        <v>1526</v>
      </c>
      <c r="M436" s="68" t="s">
        <v>1879</v>
      </c>
      <c r="N436" s="69"/>
    </row>
    <row r="437" spans="1:14" x14ac:dyDescent="0.2">
      <c r="A437" s="78">
        <v>1138</v>
      </c>
      <c r="B437" s="68" t="s">
        <v>1880</v>
      </c>
      <c r="C437" s="1642"/>
      <c r="D437" s="66" t="s">
        <v>1090</v>
      </c>
      <c r="E437" s="38">
        <v>40972</v>
      </c>
      <c r="F437" s="84" t="s">
        <v>682</v>
      </c>
      <c r="G437" s="1654"/>
      <c r="H437" s="1647"/>
      <c r="I437" s="1626"/>
      <c r="J437" s="1645"/>
      <c r="K437" s="1645"/>
      <c r="L437" s="66" t="s">
        <v>1526</v>
      </c>
      <c r="M437" s="68" t="s">
        <v>1881</v>
      </c>
      <c r="N437" s="69"/>
    </row>
    <row r="438" spans="1:14" x14ac:dyDescent="0.2">
      <c r="A438" s="78">
        <v>1139</v>
      </c>
      <c r="B438" s="68" t="s">
        <v>1882</v>
      </c>
      <c r="C438" s="1642"/>
      <c r="D438" s="66" t="s">
        <v>1090</v>
      </c>
      <c r="E438" s="38">
        <v>40972</v>
      </c>
      <c r="F438" s="84" t="s">
        <v>682</v>
      </c>
      <c r="G438" s="1654"/>
      <c r="H438" s="1647"/>
      <c r="I438" s="1626"/>
      <c r="J438" s="1645"/>
      <c r="K438" s="1645"/>
      <c r="L438" s="66" t="s">
        <v>1526</v>
      </c>
      <c r="M438" s="68" t="s">
        <v>1883</v>
      </c>
      <c r="N438" s="69"/>
    </row>
    <row r="439" spans="1:14" x14ac:dyDescent="0.2">
      <c r="A439" s="78">
        <v>1140</v>
      </c>
      <c r="B439" s="68" t="s">
        <v>1884</v>
      </c>
      <c r="C439" s="1643"/>
      <c r="D439" s="66" t="s">
        <v>1090</v>
      </c>
      <c r="E439" s="38">
        <v>40972</v>
      </c>
      <c r="F439" s="84" t="s">
        <v>682</v>
      </c>
      <c r="G439" s="1654"/>
      <c r="H439" s="1647"/>
      <c r="I439" s="1627"/>
      <c r="J439" s="1646"/>
      <c r="K439" s="1646"/>
      <c r="L439" s="66" t="s">
        <v>1526</v>
      </c>
      <c r="M439" s="68" t="s">
        <v>1885</v>
      </c>
      <c r="N439" s="69"/>
    </row>
    <row r="440" spans="1:14" x14ac:dyDescent="0.2">
      <c r="A440" s="78">
        <v>1141</v>
      </c>
      <c r="B440" s="68" t="s">
        <v>1886</v>
      </c>
      <c r="C440" s="1641" t="s">
        <v>1525</v>
      </c>
      <c r="D440" s="66" t="s">
        <v>1093</v>
      </c>
      <c r="E440" s="38">
        <v>40920</v>
      </c>
      <c r="F440" s="84" t="s">
        <v>682</v>
      </c>
      <c r="G440" s="1654">
        <v>10</v>
      </c>
      <c r="H440" s="1647">
        <v>10</v>
      </c>
      <c r="I440" s="1625">
        <f>COUNTIF(F440:F449,"S")</f>
        <v>10</v>
      </c>
      <c r="J440" s="1644">
        <f>I440/G440</f>
        <v>1</v>
      </c>
      <c r="K440" s="1644">
        <f>IF(I440/H440&gt;1,1,I440/H440)</f>
        <v>1</v>
      </c>
      <c r="L440" s="66" t="s">
        <v>1526</v>
      </c>
      <c r="M440" s="68" t="s">
        <v>683</v>
      </c>
      <c r="N440" s="69"/>
    </row>
    <row r="441" spans="1:14" x14ac:dyDescent="0.2">
      <c r="A441" s="78">
        <v>1142</v>
      </c>
      <c r="B441" s="68" t="s">
        <v>1887</v>
      </c>
      <c r="C441" s="1642"/>
      <c r="D441" s="66" t="s">
        <v>1093</v>
      </c>
      <c r="E441" s="38">
        <v>40920</v>
      </c>
      <c r="F441" s="84" t="s">
        <v>682</v>
      </c>
      <c r="G441" s="1654"/>
      <c r="H441" s="1647"/>
      <c r="I441" s="1626"/>
      <c r="J441" s="1645"/>
      <c r="K441" s="1645"/>
      <c r="L441" s="66" t="s">
        <v>1526</v>
      </c>
      <c r="M441" s="68" t="s">
        <v>683</v>
      </c>
      <c r="N441" s="69"/>
    </row>
    <row r="442" spans="1:14" x14ac:dyDescent="0.2">
      <c r="A442" s="78">
        <v>1143</v>
      </c>
      <c r="B442" s="68" t="s">
        <v>1888</v>
      </c>
      <c r="C442" s="1642"/>
      <c r="D442" s="66" t="s">
        <v>1093</v>
      </c>
      <c r="E442" s="38">
        <v>40920</v>
      </c>
      <c r="F442" s="84" t="s">
        <v>682</v>
      </c>
      <c r="G442" s="1654"/>
      <c r="H442" s="1647"/>
      <c r="I442" s="1626"/>
      <c r="J442" s="1645"/>
      <c r="K442" s="1645"/>
      <c r="L442" s="66" t="s">
        <v>1526</v>
      </c>
      <c r="M442" s="68" t="s">
        <v>683</v>
      </c>
      <c r="N442" s="69"/>
    </row>
    <row r="443" spans="1:14" x14ac:dyDescent="0.2">
      <c r="A443" s="78">
        <v>1144</v>
      </c>
      <c r="B443" s="68" t="s">
        <v>1889</v>
      </c>
      <c r="C443" s="1642"/>
      <c r="D443" s="66" t="s">
        <v>1093</v>
      </c>
      <c r="E443" s="38">
        <v>40920</v>
      </c>
      <c r="F443" s="84" t="s">
        <v>682</v>
      </c>
      <c r="G443" s="1654"/>
      <c r="H443" s="1647"/>
      <c r="I443" s="1626"/>
      <c r="J443" s="1645"/>
      <c r="K443" s="1645"/>
      <c r="L443" s="66" t="s">
        <v>1526</v>
      </c>
      <c r="M443" s="68" t="s">
        <v>683</v>
      </c>
      <c r="N443" s="69"/>
    </row>
    <row r="444" spans="1:14" x14ac:dyDescent="0.2">
      <c r="A444" s="78">
        <v>1145</v>
      </c>
      <c r="B444" s="68" t="s">
        <v>1890</v>
      </c>
      <c r="C444" s="1642"/>
      <c r="D444" s="66" t="s">
        <v>1093</v>
      </c>
      <c r="E444" s="38">
        <v>40920</v>
      </c>
      <c r="F444" s="84" t="s">
        <v>682</v>
      </c>
      <c r="G444" s="1654"/>
      <c r="H444" s="1647"/>
      <c r="I444" s="1626"/>
      <c r="J444" s="1645"/>
      <c r="K444" s="1645"/>
      <c r="L444" s="66" t="s">
        <v>1526</v>
      </c>
      <c r="M444" s="68" t="s">
        <v>683</v>
      </c>
      <c r="N444" s="69"/>
    </row>
    <row r="445" spans="1:14" x14ac:dyDescent="0.2">
      <c r="A445" s="78">
        <v>1146</v>
      </c>
      <c r="B445" s="68" t="s">
        <v>1891</v>
      </c>
      <c r="C445" s="1642"/>
      <c r="D445" s="66" t="s">
        <v>1093</v>
      </c>
      <c r="E445" s="38">
        <v>40920</v>
      </c>
      <c r="F445" s="84" t="s">
        <v>682</v>
      </c>
      <c r="G445" s="1654"/>
      <c r="H445" s="1647"/>
      <c r="I445" s="1626"/>
      <c r="J445" s="1645"/>
      <c r="K445" s="1645"/>
      <c r="L445" s="66" t="s">
        <v>1526</v>
      </c>
      <c r="M445" s="68" t="s">
        <v>683</v>
      </c>
      <c r="N445" s="69"/>
    </row>
    <row r="446" spans="1:14" x14ac:dyDescent="0.2">
      <c r="A446" s="78">
        <v>1147</v>
      </c>
      <c r="B446" s="68" t="s">
        <v>1892</v>
      </c>
      <c r="C446" s="1642"/>
      <c r="D446" s="66" t="s">
        <v>1093</v>
      </c>
      <c r="E446" s="38">
        <v>40920</v>
      </c>
      <c r="F446" s="84" t="s">
        <v>682</v>
      </c>
      <c r="G446" s="1654"/>
      <c r="H446" s="1647"/>
      <c r="I446" s="1626"/>
      <c r="J446" s="1645"/>
      <c r="K446" s="1645"/>
      <c r="L446" s="66" t="s">
        <v>1526</v>
      </c>
      <c r="M446" s="68" t="s">
        <v>683</v>
      </c>
      <c r="N446" s="69"/>
    </row>
    <row r="447" spans="1:14" x14ac:dyDescent="0.2">
      <c r="A447" s="78">
        <v>1148</v>
      </c>
      <c r="B447" s="68" t="s">
        <v>1893</v>
      </c>
      <c r="C447" s="1642"/>
      <c r="D447" s="66" t="s">
        <v>1093</v>
      </c>
      <c r="E447" s="38">
        <v>40920</v>
      </c>
      <c r="F447" s="84" t="s">
        <v>682</v>
      </c>
      <c r="G447" s="1654"/>
      <c r="H447" s="1647"/>
      <c r="I447" s="1626"/>
      <c r="J447" s="1645"/>
      <c r="K447" s="1645"/>
      <c r="L447" s="66" t="s">
        <v>1526</v>
      </c>
      <c r="M447" s="68" t="s">
        <v>683</v>
      </c>
      <c r="N447" s="69"/>
    </row>
    <row r="448" spans="1:14" x14ac:dyDescent="0.2">
      <c r="A448" s="78">
        <v>1149</v>
      </c>
      <c r="B448" s="68" t="s">
        <v>1894</v>
      </c>
      <c r="C448" s="1642"/>
      <c r="D448" s="66" t="s">
        <v>1093</v>
      </c>
      <c r="E448" s="38">
        <v>40920</v>
      </c>
      <c r="F448" s="84" t="s">
        <v>682</v>
      </c>
      <c r="G448" s="1654"/>
      <c r="H448" s="1647"/>
      <c r="I448" s="1626"/>
      <c r="J448" s="1645"/>
      <c r="K448" s="1645"/>
      <c r="L448" s="66" t="s">
        <v>1526</v>
      </c>
      <c r="M448" s="68" t="s">
        <v>683</v>
      </c>
      <c r="N448" s="69"/>
    </row>
    <row r="449" spans="1:14" x14ac:dyDescent="0.2">
      <c r="A449" s="78">
        <v>1150</v>
      </c>
      <c r="B449" s="68" t="s">
        <v>1895</v>
      </c>
      <c r="C449" s="1643"/>
      <c r="D449" s="66" t="s">
        <v>1093</v>
      </c>
      <c r="E449" s="38">
        <v>40920</v>
      </c>
      <c r="F449" s="84" t="s">
        <v>682</v>
      </c>
      <c r="G449" s="1654"/>
      <c r="H449" s="1647"/>
      <c r="I449" s="1627"/>
      <c r="J449" s="1646"/>
      <c r="K449" s="1646"/>
      <c r="L449" s="66" t="s">
        <v>1526</v>
      </c>
      <c r="M449" s="68" t="s">
        <v>683</v>
      </c>
      <c r="N449" s="69"/>
    </row>
    <row r="450" spans="1:14" x14ac:dyDescent="0.2">
      <c r="A450" s="78">
        <v>1151</v>
      </c>
      <c r="B450" s="68" t="s">
        <v>1896</v>
      </c>
      <c r="C450" s="1641" t="s">
        <v>1525</v>
      </c>
      <c r="D450" s="66" t="s">
        <v>1095</v>
      </c>
      <c r="E450" s="38">
        <v>40920</v>
      </c>
      <c r="F450" s="84" t="s">
        <v>682</v>
      </c>
      <c r="G450" s="1654">
        <v>10</v>
      </c>
      <c r="H450" s="1647">
        <v>10</v>
      </c>
      <c r="I450" s="1625">
        <f>COUNTIF(F450:F459,"S")</f>
        <v>10</v>
      </c>
      <c r="J450" s="1644">
        <f>I450/G450</f>
        <v>1</v>
      </c>
      <c r="K450" s="1644">
        <f>IF(I450/H450&gt;1,1,I450/H450)</f>
        <v>1</v>
      </c>
      <c r="L450" s="66" t="s">
        <v>1526</v>
      </c>
      <c r="M450" s="68" t="s">
        <v>683</v>
      </c>
      <c r="N450" s="69"/>
    </row>
    <row r="451" spans="1:14" x14ac:dyDescent="0.2">
      <c r="A451" s="78">
        <v>1152</v>
      </c>
      <c r="B451" s="68" t="s">
        <v>1897</v>
      </c>
      <c r="C451" s="1642"/>
      <c r="D451" s="66" t="s">
        <v>1095</v>
      </c>
      <c r="E451" s="38">
        <v>40920</v>
      </c>
      <c r="F451" s="84" t="s">
        <v>682</v>
      </c>
      <c r="G451" s="1654"/>
      <c r="H451" s="1647"/>
      <c r="I451" s="1626"/>
      <c r="J451" s="1645"/>
      <c r="K451" s="1645"/>
      <c r="L451" s="66" t="s">
        <v>1526</v>
      </c>
      <c r="M451" s="68" t="s">
        <v>683</v>
      </c>
      <c r="N451" s="69"/>
    </row>
    <row r="452" spans="1:14" x14ac:dyDescent="0.2">
      <c r="A452" s="78">
        <v>1153</v>
      </c>
      <c r="B452" s="68" t="s">
        <v>1898</v>
      </c>
      <c r="C452" s="1642"/>
      <c r="D452" s="66" t="s">
        <v>1095</v>
      </c>
      <c r="E452" s="38">
        <v>40920</v>
      </c>
      <c r="F452" s="84" t="s">
        <v>682</v>
      </c>
      <c r="G452" s="1654"/>
      <c r="H452" s="1647"/>
      <c r="I452" s="1626"/>
      <c r="J452" s="1645"/>
      <c r="K452" s="1645"/>
      <c r="L452" s="66" t="s">
        <v>1526</v>
      </c>
      <c r="M452" s="68" t="s">
        <v>683</v>
      </c>
      <c r="N452" s="69"/>
    </row>
    <row r="453" spans="1:14" x14ac:dyDescent="0.2">
      <c r="A453" s="78">
        <v>1154</v>
      </c>
      <c r="B453" s="68" t="s">
        <v>1899</v>
      </c>
      <c r="C453" s="1642"/>
      <c r="D453" s="66" t="s">
        <v>1095</v>
      </c>
      <c r="E453" s="38">
        <v>40920</v>
      </c>
      <c r="F453" s="84" t="s">
        <v>682</v>
      </c>
      <c r="G453" s="1654"/>
      <c r="H453" s="1647"/>
      <c r="I453" s="1626"/>
      <c r="J453" s="1645"/>
      <c r="K453" s="1645"/>
      <c r="L453" s="66" t="s">
        <v>1526</v>
      </c>
      <c r="M453" s="68" t="s">
        <v>683</v>
      </c>
      <c r="N453" s="69"/>
    </row>
    <row r="454" spans="1:14" x14ac:dyDescent="0.2">
      <c r="A454" s="78">
        <v>1155</v>
      </c>
      <c r="B454" s="68" t="s">
        <v>1900</v>
      </c>
      <c r="C454" s="1642"/>
      <c r="D454" s="66" t="s">
        <v>1095</v>
      </c>
      <c r="E454" s="38">
        <v>40920</v>
      </c>
      <c r="F454" s="84" t="s">
        <v>682</v>
      </c>
      <c r="G454" s="1654"/>
      <c r="H454" s="1647"/>
      <c r="I454" s="1626"/>
      <c r="J454" s="1645"/>
      <c r="K454" s="1645"/>
      <c r="L454" s="66" t="s">
        <v>1526</v>
      </c>
      <c r="M454" s="68" t="s">
        <v>683</v>
      </c>
      <c r="N454" s="69"/>
    </row>
    <row r="455" spans="1:14" x14ac:dyDescent="0.2">
      <c r="A455" s="78">
        <v>1156</v>
      </c>
      <c r="B455" s="68" t="s">
        <v>1901</v>
      </c>
      <c r="C455" s="1642"/>
      <c r="D455" s="66" t="s">
        <v>1095</v>
      </c>
      <c r="E455" s="38">
        <v>40920</v>
      </c>
      <c r="F455" s="84" t="s">
        <v>682</v>
      </c>
      <c r="G455" s="1654"/>
      <c r="H455" s="1647"/>
      <c r="I455" s="1626"/>
      <c r="J455" s="1645"/>
      <c r="K455" s="1645"/>
      <c r="L455" s="66" t="s">
        <v>1526</v>
      </c>
      <c r="M455" s="68" t="s">
        <v>683</v>
      </c>
      <c r="N455" s="69"/>
    </row>
    <row r="456" spans="1:14" x14ac:dyDescent="0.2">
      <c r="A456" s="78">
        <v>1157</v>
      </c>
      <c r="B456" s="68" t="s">
        <v>1902</v>
      </c>
      <c r="C456" s="1642"/>
      <c r="D456" s="66" t="s">
        <v>1095</v>
      </c>
      <c r="E456" s="38">
        <v>40920</v>
      </c>
      <c r="F456" s="84" t="s">
        <v>682</v>
      </c>
      <c r="G456" s="1654"/>
      <c r="H456" s="1647"/>
      <c r="I456" s="1626"/>
      <c r="J456" s="1645"/>
      <c r="K456" s="1645"/>
      <c r="L456" s="66" t="s">
        <v>1526</v>
      </c>
      <c r="M456" s="68" t="s">
        <v>683</v>
      </c>
      <c r="N456" s="69"/>
    </row>
    <row r="457" spans="1:14" x14ac:dyDescent="0.2">
      <c r="A457" s="78">
        <v>1158</v>
      </c>
      <c r="B457" s="68" t="s">
        <v>1903</v>
      </c>
      <c r="C457" s="1642"/>
      <c r="D457" s="66" t="s">
        <v>1095</v>
      </c>
      <c r="E457" s="38">
        <v>40920</v>
      </c>
      <c r="F457" s="84" t="s">
        <v>682</v>
      </c>
      <c r="G457" s="1654"/>
      <c r="H457" s="1647"/>
      <c r="I457" s="1626"/>
      <c r="J457" s="1645"/>
      <c r="K457" s="1645"/>
      <c r="L457" s="66" t="s">
        <v>1526</v>
      </c>
      <c r="M457" s="68" t="s">
        <v>683</v>
      </c>
      <c r="N457" s="69"/>
    </row>
    <row r="458" spans="1:14" x14ac:dyDescent="0.2">
      <c r="A458" s="78">
        <v>1159</v>
      </c>
      <c r="B458" s="68" t="s">
        <v>1904</v>
      </c>
      <c r="C458" s="1642"/>
      <c r="D458" s="66" t="s">
        <v>1095</v>
      </c>
      <c r="E458" s="38">
        <v>40920</v>
      </c>
      <c r="F458" s="84" t="s">
        <v>682</v>
      </c>
      <c r="G458" s="1654"/>
      <c r="H458" s="1647"/>
      <c r="I458" s="1626"/>
      <c r="J458" s="1645"/>
      <c r="K458" s="1645"/>
      <c r="L458" s="66" t="s">
        <v>1526</v>
      </c>
      <c r="M458" s="68" t="s">
        <v>683</v>
      </c>
      <c r="N458" s="69"/>
    </row>
    <row r="459" spans="1:14" x14ac:dyDescent="0.2">
      <c r="A459" s="78">
        <v>1160</v>
      </c>
      <c r="B459" s="68" t="s">
        <v>1905</v>
      </c>
      <c r="C459" s="1643"/>
      <c r="D459" s="66" t="s">
        <v>1095</v>
      </c>
      <c r="E459" s="38">
        <v>40920</v>
      </c>
      <c r="F459" s="84" t="s">
        <v>682</v>
      </c>
      <c r="G459" s="1654"/>
      <c r="H459" s="1647"/>
      <c r="I459" s="1627"/>
      <c r="J459" s="1646"/>
      <c r="K459" s="1646"/>
      <c r="L459" s="66" t="s">
        <v>1526</v>
      </c>
      <c r="M459" s="68" t="s">
        <v>683</v>
      </c>
      <c r="N459" s="69"/>
    </row>
    <row r="460" spans="1:14" x14ac:dyDescent="0.2">
      <c r="A460" s="78">
        <v>1161</v>
      </c>
      <c r="B460" s="68" t="s">
        <v>1906</v>
      </c>
      <c r="C460" s="1641" t="s">
        <v>1525</v>
      </c>
      <c r="D460" s="66" t="s">
        <v>1098</v>
      </c>
      <c r="E460" s="38"/>
      <c r="F460" s="84" t="s">
        <v>683</v>
      </c>
      <c r="G460" s="1654">
        <v>10</v>
      </c>
      <c r="H460" s="1647">
        <v>10</v>
      </c>
      <c r="I460" s="1625">
        <f>COUNTIF(F460:F469,"S")</f>
        <v>0</v>
      </c>
      <c r="J460" s="1644">
        <f>I460/G460</f>
        <v>0</v>
      </c>
      <c r="K460" s="1644">
        <f>IF(I460/H460&gt;1,1,I460/H460)</f>
        <v>0</v>
      </c>
      <c r="L460" s="66" t="s">
        <v>1526</v>
      </c>
      <c r="M460" s="68" t="s">
        <v>683</v>
      </c>
      <c r="N460" s="69"/>
    </row>
    <row r="461" spans="1:14" x14ac:dyDescent="0.2">
      <c r="A461" s="78">
        <v>1162</v>
      </c>
      <c r="B461" s="68" t="s">
        <v>1907</v>
      </c>
      <c r="C461" s="1642"/>
      <c r="D461" s="66" t="s">
        <v>1098</v>
      </c>
      <c r="E461" s="38"/>
      <c r="F461" s="84" t="s">
        <v>683</v>
      </c>
      <c r="G461" s="1654"/>
      <c r="H461" s="1647"/>
      <c r="I461" s="1626"/>
      <c r="J461" s="1645"/>
      <c r="K461" s="1645"/>
      <c r="L461" s="66" t="s">
        <v>1526</v>
      </c>
      <c r="M461" s="68" t="s">
        <v>683</v>
      </c>
      <c r="N461" s="69"/>
    </row>
    <row r="462" spans="1:14" x14ac:dyDescent="0.2">
      <c r="A462" s="78">
        <v>1163</v>
      </c>
      <c r="B462" s="68" t="s">
        <v>1908</v>
      </c>
      <c r="C462" s="1642"/>
      <c r="D462" s="66" t="s">
        <v>1098</v>
      </c>
      <c r="E462" s="38"/>
      <c r="F462" s="84" t="s">
        <v>683</v>
      </c>
      <c r="G462" s="1654"/>
      <c r="H462" s="1647"/>
      <c r="I462" s="1626"/>
      <c r="J462" s="1645"/>
      <c r="K462" s="1645"/>
      <c r="L462" s="66" t="s">
        <v>1526</v>
      </c>
      <c r="M462" s="68" t="s">
        <v>683</v>
      </c>
      <c r="N462" s="69"/>
    </row>
    <row r="463" spans="1:14" x14ac:dyDescent="0.2">
      <c r="A463" s="78">
        <v>1164</v>
      </c>
      <c r="B463" s="68" t="s">
        <v>1909</v>
      </c>
      <c r="C463" s="1642"/>
      <c r="D463" s="66" t="s">
        <v>1098</v>
      </c>
      <c r="E463" s="38"/>
      <c r="F463" s="84" t="s">
        <v>683</v>
      </c>
      <c r="G463" s="1654"/>
      <c r="H463" s="1647"/>
      <c r="I463" s="1626"/>
      <c r="J463" s="1645"/>
      <c r="K463" s="1645"/>
      <c r="L463" s="66" t="s">
        <v>1526</v>
      </c>
      <c r="M463" s="68" t="s">
        <v>683</v>
      </c>
      <c r="N463" s="69"/>
    </row>
    <row r="464" spans="1:14" x14ac:dyDescent="0.2">
      <c r="A464" s="78">
        <v>1165</v>
      </c>
      <c r="B464" s="68" t="s">
        <v>1910</v>
      </c>
      <c r="C464" s="1642"/>
      <c r="D464" s="66" t="s">
        <v>1098</v>
      </c>
      <c r="E464" s="38"/>
      <c r="F464" s="84" t="s">
        <v>683</v>
      </c>
      <c r="G464" s="1654"/>
      <c r="H464" s="1647"/>
      <c r="I464" s="1626"/>
      <c r="J464" s="1645"/>
      <c r="K464" s="1645"/>
      <c r="L464" s="66" t="s">
        <v>1526</v>
      </c>
      <c r="M464" s="68" t="s">
        <v>683</v>
      </c>
      <c r="N464" s="69"/>
    </row>
    <row r="465" spans="1:14" x14ac:dyDescent="0.2">
      <c r="A465" s="78">
        <v>1166</v>
      </c>
      <c r="B465" s="68" t="s">
        <v>1911</v>
      </c>
      <c r="C465" s="1642"/>
      <c r="D465" s="66" t="s">
        <v>1098</v>
      </c>
      <c r="E465" s="38"/>
      <c r="F465" s="84" t="s">
        <v>683</v>
      </c>
      <c r="G465" s="1654"/>
      <c r="H465" s="1647"/>
      <c r="I465" s="1626"/>
      <c r="J465" s="1645"/>
      <c r="K465" s="1645"/>
      <c r="L465" s="66" t="s">
        <v>1526</v>
      </c>
      <c r="M465" s="68" t="s">
        <v>683</v>
      </c>
      <c r="N465" s="69"/>
    </row>
    <row r="466" spans="1:14" x14ac:dyDescent="0.2">
      <c r="A466" s="78">
        <v>1167</v>
      </c>
      <c r="B466" s="68" t="s">
        <v>1912</v>
      </c>
      <c r="C466" s="1642"/>
      <c r="D466" s="66" t="s">
        <v>1098</v>
      </c>
      <c r="E466" s="38"/>
      <c r="F466" s="84" t="s">
        <v>683</v>
      </c>
      <c r="G466" s="1654"/>
      <c r="H466" s="1647"/>
      <c r="I466" s="1626"/>
      <c r="J466" s="1645"/>
      <c r="K466" s="1645"/>
      <c r="L466" s="66" t="s">
        <v>1526</v>
      </c>
      <c r="M466" s="68" t="s">
        <v>683</v>
      </c>
      <c r="N466" s="69"/>
    </row>
    <row r="467" spans="1:14" x14ac:dyDescent="0.2">
      <c r="A467" s="78">
        <v>1168</v>
      </c>
      <c r="B467" s="68" t="s">
        <v>1913</v>
      </c>
      <c r="C467" s="1642"/>
      <c r="D467" s="66" t="s">
        <v>1098</v>
      </c>
      <c r="E467" s="38"/>
      <c r="F467" s="84" t="s">
        <v>683</v>
      </c>
      <c r="G467" s="1654"/>
      <c r="H467" s="1647"/>
      <c r="I467" s="1626"/>
      <c r="J467" s="1645"/>
      <c r="K467" s="1645"/>
      <c r="L467" s="66" t="s">
        <v>1526</v>
      </c>
      <c r="M467" s="68" t="s">
        <v>683</v>
      </c>
      <c r="N467" s="69"/>
    </row>
    <row r="468" spans="1:14" x14ac:dyDescent="0.2">
      <c r="A468" s="78">
        <v>1169</v>
      </c>
      <c r="B468" s="68" t="s">
        <v>1914</v>
      </c>
      <c r="C468" s="1642"/>
      <c r="D468" s="66" t="s">
        <v>1098</v>
      </c>
      <c r="E468" s="38"/>
      <c r="F468" s="84" t="s">
        <v>683</v>
      </c>
      <c r="G468" s="1654"/>
      <c r="H468" s="1647"/>
      <c r="I468" s="1626"/>
      <c r="J468" s="1645"/>
      <c r="K468" s="1645"/>
      <c r="L468" s="66" t="s">
        <v>1526</v>
      </c>
      <c r="M468" s="68" t="s">
        <v>683</v>
      </c>
      <c r="N468" s="69"/>
    </row>
    <row r="469" spans="1:14" x14ac:dyDescent="0.2">
      <c r="A469" s="78">
        <v>1170</v>
      </c>
      <c r="B469" s="68" t="s">
        <v>1915</v>
      </c>
      <c r="C469" s="1643"/>
      <c r="D469" s="66" t="s">
        <v>1098</v>
      </c>
      <c r="E469" s="38"/>
      <c r="F469" s="84" t="s">
        <v>683</v>
      </c>
      <c r="G469" s="1654"/>
      <c r="H469" s="1647"/>
      <c r="I469" s="1627"/>
      <c r="J469" s="1646"/>
      <c r="K469" s="1645"/>
      <c r="L469" s="66" t="s">
        <v>1526</v>
      </c>
      <c r="M469" s="68" t="s">
        <v>683</v>
      </c>
      <c r="N469" s="69"/>
    </row>
    <row r="470" spans="1:14" ht="13.5" thickBot="1" x14ac:dyDescent="0.25"/>
    <row r="471" spans="1:14" x14ac:dyDescent="0.2">
      <c r="C471" s="86" t="s">
        <v>1916</v>
      </c>
      <c r="D471" s="87">
        <f>AVERAGE(I365:I468)</f>
        <v>8</v>
      </c>
      <c r="E471" s="88">
        <f>AVERAGE(J2:J19)</f>
        <v>0.77777777777777779</v>
      </c>
    </row>
    <row r="472" spans="1:14" ht="13.5" thickBot="1" x14ac:dyDescent="0.25">
      <c r="C472" s="89" t="s">
        <v>1917</v>
      </c>
      <c r="D472" s="90">
        <f>AVERAGE(J365:J468)</f>
        <v>0.8</v>
      </c>
      <c r="E472" s="91">
        <f>AVERAGE(K2:K19)</f>
        <v>1</v>
      </c>
    </row>
  </sheetData>
  <mergeCells count="226">
    <mergeCell ref="C260:C274"/>
    <mergeCell ref="C275:C289"/>
    <mergeCell ref="C450:C459"/>
    <mergeCell ref="C460:C469"/>
    <mergeCell ref="C335:C349"/>
    <mergeCell ref="C350:C364"/>
    <mergeCell ref="C410:C419"/>
    <mergeCell ref="C420:C429"/>
    <mergeCell ref="C390:C399"/>
    <mergeCell ref="C400:C409"/>
    <mergeCell ref="C290:C304"/>
    <mergeCell ref="C305:C319"/>
    <mergeCell ref="C365:C379"/>
    <mergeCell ref="C380:C389"/>
    <mergeCell ref="C320:C334"/>
    <mergeCell ref="C430:C439"/>
    <mergeCell ref="C440:C449"/>
    <mergeCell ref="C80:C94"/>
    <mergeCell ref="C95:C109"/>
    <mergeCell ref="C110:C124"/>
    <mergeCell ref="C125:C139"/>
    <mergeCell ref="C215:C224"/>
    <mergeCell ref="C225:C234"/>
    <mergeCell ref="C195:C204"/>
    <mergeCell ref="C140:C154"/>
    <mergeCell ref="C155:C164"/>
    <mergeCell ref="C165:C174"/>
    <mergeCell ref="C175:C184"/>
    <mergeCell ref="C185:C194"/>
    <mergeCell ref="C235:C244"/>
    <mergeCell ref="G205:G214"/>
    <mergeCell ref="G215:G224"/>
    <mergeCell ref="G165:G174"/>
    <mergeCell ref="C205:C214"/>
    <mergeCell ref="G175:G184"/>
    <mergeCell ref="C245:C259"/>
    <mergeCell ref="G225:G234"/>
    <mergeCell ref="G125:G139"/>
    <mergeCell ref="G235:G244"/>
    <mergeCell ref="G11:G19"/>
    <mergeCell ref="G2:G10"/>
    <mergeCell ref="G185:G194"/>
    <mergeCell ref="G195:G204"/>
    <mergeCell ref="G140:G154"/>
    <mergeCell ref="G155:G164"/>
    <mergeCell ref="G80:G94"/>
    <mergeCell ref="G95:G109"/>
    <mergeCell ref="G110:G124"/>
    <mergeCell ref="G20:G34"/>
    <mergeCell ref="G35:G49"/>
    <mergeCell ref="G50:G64"/>
    <mergeCell ref="G65:G79"/>
    <mergeCell ref="G460:G469"/>
    <mergeCell ref="G430:G439"/>
    <mergeCell ref="G440:G449"/>
    <mergeCell ref="I65:I79"/>
    <mergeCell ref="I95:I109"/>
    <mergeCell ref="H165:H174"/>
    <mergeCell ref="I165:I174"/>
    <mergeCell ref="H185:H194"/>
    <mergeCell ref="G245:G259"/>
    <mergeCell ref="G260:G274"/>
    <mergeCell ref="G275:G289"/>
    <mergeCell ref="G290:G304"/>
    <mergeCell ref="G305:G319"/>
    <mergeCell ref="G320:G334"/>
    <mergeCell ref="G365:G379"/>
    <mergeCell ref="G450:G459"/>
    <mergeCell ref="G380:G389"/>
    <mergeCell ref="G390:G399"/>
    <mergeCell ref="G400:G409"/>
    <mergeCell ref="G410:G419"/>
    <mergeCell ref="G420:G429"/>
    <mergeCell ref="G335:G349"/>
    <mergeCell ref="G350:G364"/>
    <mergeCell ref="H65:H79"/>
    <mergeCell ref="K65:K79"/>
    <mergeCell ref="I2:I10"/>
    <mergeCell ref="I11:I19"/>
    <mergeCell ref="I20:I34"/>
    <mergeCell ref="I35:I49"/>
    <mergeCell ref="J20:J34"/>
    <mergeCell ref="J35:J49"/>
    <mergeCell ref="K20:K34"/>
    <mergeCell ref="J65:J79"/>
    <mergeCell ref="H2:H10"/>
    <mergeCell ref="H20:H34"/>
    <mergeCell ref="H50:H64"/>
    <mergeCell ref="H11:H19"/>
    <mergeCell ref="J2:J10"/>
    <mergeCell ref="I50:I64"/>
    <mergeCell ref="J50:J64"/>
    <mergeCell ref="K2:K10"/>
    <mergeCell ref="J11:J19"/>
    <mergeCell ref="K11:K19"/>
    <mergeCell ref="K50:K64"/>
    <mergeCell ref="K35:K49"/>
    <mergeCell ref="H35:H49"/>
    <mergeCell ref="K80:K94"/>
    <mergeCell ref="K95:K109"/>
    <mergeCell ref="K110:K124"/>
    <mergeCell ref="H125:H139"/>
    <mergeCell ref="I125:I139"/>
    <mergeCell ref="J125:J139"/>
    <mergeCell ref="K125:K139"/>
    <mergeCell ref="J95:J109"/>
    <mergeCell ref="H110:H124"/>
    <mergeCell ref="I110:I124"/>
    <mergeCell ref="J110:J124"/>
    <mergeCell ref="H95:H109"/>
    <mergeCell ref="I80:I94"/>
    <mergeCell ref="J80:J94"/>
    <mergeCell ref="H80:H94"/>
    <mergeCell ref="J165:J174"/>
    <mergeCell ref="K165:K174"/>
    <mergeCell ref="H175:H184"/>
    <mergeCell ref="I175:I184"/>
    <mergeCell ref="J175:J184"/>
    <mergeCell ref="K175:K184"/>
    <mergeCell ref="K140:K154"/>
    <mergeCell ref="I140:I154"/>
    <mergeCell ref="H155:H164"/>
    <mergeCell ref="J155:J164"/>
    <mergeCell ref="I155:I164"/>
    <mergeCell ref="K155:K164"/>
    <mergeCell ref="H140:H154"/>
    <mergeCell ref="J140:J154"/>
    <mergeCell ref="J215:J224"/>
    <mergeCell ref="K215:K224"/>
    <mergeCell ref="H205:H214"/>
    <mergeCell ref="I205:I214"/>
    <mergeCell ref="J205:J214"/>
    <mergeCell ref="K205:K214"/>
    <mergeCell ref="H215:H224"/>
    <mergeCell ref="I215:I224"/>
    <mergeCell ref="J185:J194"/>
    <mergeCell ref="K185:K194"/>
    <mergeCell ref="H195:H204"/>
    <mergeCell ref="I195:I204"/>
    <mergeCell ref="J195:J204"/>
    <mergeCell ref="K195:K204"/>
    <mergeCell ref="I185:I194"/>
    <mergeCell ref="H245:H259"/>
    <mergeCell ref="I245:I259"/>
    <mergeCell ref="J245:J259"/>
    <mergeCell ref="K245:K259"/>
    <mergeCell ref="H235:H244"/>
    <mergeCell ref="I235:I244"/>
    <mergeCell ref="J235:J244"/>
    <mergeCell ref="K235:K244"/>
    <mergeCell ref="H225:H234"/>
    <mergeCell ref="I225:I234"/>
    <mergeCell ref="J225:J234"/>
    <mergeCell ref="K225:K234"/>
    <mergeCell ref="H290:H304"/>
    <mergeCell ref="I290:I304"/>
    <mergeCell ref="J290:J304"/>
    <mergeCell ref="K290:K304"/>
    <mergeCell ref="H275:H289"/>
    <mergeCell ref="I275:I289"/>
    <mergeCell ref="J275:J289"/>
    <mergeCell ref="K275:K289"/>
    <mergeCell ref="H260:H274"/>
    <mergeCell ref="I260:I274"/>
    <mergeCell ref="J260:J274"/>
    <mergeCell ref="K260:K274"/>
    <mergeCell ref="I350:I364"/>
    <mergeCell ref="J350:J364"/>
    <mergeCell ref="H320:H334"/>
    <mergeCell ref="I320:I334"/>
    <mergeCell ref="J320:J334"/>
    <mergeCell ref="K320:K334"/>
    <mergeCell ref="H305:H319"/>
    <mergeCell ref="I305:I319"/>
    <mergeCell ref="J305:J319"/>
    <mergeCell ref="K305:K319"/>
    <mergeCell ref="I460:I469"/>
    <mergeCell ref="H440:H449"/>
    <mergeCell ref="J460:J469"/>
    <mergeCell ref="K460:K469"/>
    <mergeCell ref="H460:H469"/>
    <mergeCell ref="I450:I459"/>
    <mergeCell ref="J440:J449"/>
    <mergeCell ref="K440:K449"/>
    <mergeCell ref="I440:I449"/>
    <mergeCell ref="H450:H459"/>
    <mergeCell ref="J450:J459"/>
    <mergeCell ref="I420:I429"/>
    <mergeCell ref="H430:H439"/>
    <mergeCell ref="I430:I439"/>
    <mergeCell ref="H420:H429"/>
    <mergeCell ref="J430:J439"/>
    <mergeCell ref="K450:K459"/>
    <mergeCell ref="H390:H399"/>
    <mergeCell ref="I400:I409"/>
    <mergeCell ref="I410:I419"/>
    <mergeCell ref="H410:H419"/>
    <mergeCell ref="K420:K429"/>
    <mergeCell ref="I390:I399"/>
    <mergeCell ref="J390:J399"/>
    <mergeCell ref="K390:K399"/>
    <mergeCell ref="J410:J419"/>
    <mergeCell ref="C20:C34"/>
    <mergeCell ref="C35:C49"/>
    <mergeCell ref="C50:C64"/>
    <mergeCell ref="C65:C79"/>
    <mergeCell ref="K430:K439"/>
    <mergeCell ref="J400:J409"/>
    <mergeCell ref="K400:K409"/>
    <mergeCell ref="H400:H409"/>
    <mergeCell ref="J420:J429"/>
    <mergeCell ref="K410:K419"/>
    <mergeCell ref="J380:J389"/>
    <mergeCell ref="K380:K389"/>
    <mergeCell ref="H380:H389"/>
    <mergeCell ref="I365:I379"/>
    <mergeCell ref="J365:J379"/>
    <mergeCell ref="K365:K379"/>
    <mergeCell ref="H365:H379"/>
    <mergeCell ref="I380:I389"/>
    <mergeCell ref="K350:K364"/>
    <mergeCell ref="J335:J349"/>
    <mergeCell ref="K335:K349"/>
    <mergeCell ref="H350:H364"/>
    <mergeCell ref="H335:H349"/>
    <mergeCell ref="I335:I349"/>
  </mergeCells>
  <phoneticPr fontId="5" type="noConversion"/>
  <dataValidations count="2">
    <dataValidation type="list" showInputMessage="1" showErrorMessage="1" sqref="F20:F469" xr:uid="{CE3D3CB9-7D7D-4705-908D-D88C96DA8F72}">
      <formula1>$P$4:$P$8</formula1>
    </dataValidation>
    <dataValidation showInputMessage="1" showErrorMessage="1" sqref="F2:F19" xr:uid="{5C21A345-B2E8-40EC-BAE2-F54F71DE2448}"/>
  </dataValidations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61E39-DAC0-432B-9160-C7F048BB1BF8}">
  <sheetPr codeName="Sheet10">
    <tabColor indexed="42"/>
  </sheetPr>
  <dimension ref="A1:F8"/>
  <sheetViews>
    <sheetView showGridLines="0" workbookViewId="0">
      <selection activeCell="I28" sqref="I28"/>
    </sheetView>
  </sheetViews>
  <sheetFormatPr defaultRowHeight="12.75" x14ac:dyDescent="0.2"/>
  <cols>
    <col min="1" max="1" width="23" customWidth="1"/>
    <col min="2" max="2" width="23.140625" customWidth="1"/>
    <col min="3" max="3" width="3" customWidth="1"/>
    <col min="4" max="4" width="12.140625" customWidth="1"/>
    <col min="5" max="5" width="11.7109375" customWidth="1"/>
    <col min="6" max="6" width="3.42578125" customWidth="1"/>
  </cols>
  <sheetData>
    <row r="1" spans="1:6" ht="15.75" x14ac:dyDescent="0.25">
      <c r="A1" s="1657" t="s">
        <v>1918</v>
      </c>
      <c r="B1" s="1657"/>
      <c r="C1" s="1657"/>
      <c r="D1" s="1657"/>
      <c r="E1" s="1658"/>
      <c r="F1" s="1658"/>
    </row>
    <row r="2" spans="1:6" x14ac:dyDescent="0.2">
      <c r="A2" s="1"/>
      <c r="B2" s="1"/>
      <c r="C2" s="1"/>
      <c r="D2" s="1"/>
      <c r="E2" s="99"/>
    </row>
    <row r="3" spans="1:6" x14ac:dyDescent="0.2">
      <c r="A3" s="1660"/>
      <c r="B3" s="1661"/>
      <c r="C3" s="1663" t="s">
        <v>1919</v>
      </c>
      <c r="D3" s="1664"/>
      <c r="E3" s="1665" t="s">
        <v>1920</v>
      </c>
      <c r="F3" s="1621"/>
    </row>
    <row r="4" spans="1:6" ht="25.5" customHeight="1" x14ac:dyDescent="0.2">
      <c r="A4" s="1662" t="s">
        <v>1921</v>
      </c>
      <c r="B4" s="1662"/>
      <c r="C4" s="1659" t="e">
        <f>IF(ISBLANK('AMSE Stats'!C8),"",'AMSE Stats'!C8)</f>
        <v>#REF!</v>
      </c>
      <c r="D4" s="1659"/>
      <c r="E4" s="1659" t="e">
        <f>IF(ISBLANK('AMSE Stats'!C9),"",'AMSE Stats'!C9)</f>
        <v>#REF!</v>
      </c>
      <c r="F4" s="1659"/>
    </row>
    <row r="5" spans="1:6" ht="26.25" hidden="1" customHeight="1" x14ac:dyDescent="0.2">
      <c r="A5" s="1662" t="s">
        <v>1922</v>
      </c>
      <c r="B5" s="1662"/>
      <c r="C5" s="1659">
        <f>IF(ISBLANK('Critical Tool &amp; Equip Stats'!C19),"",'Critical Tool &amp; Equip Stats'!C19)</f>
        <v>0.96997126436781611</v>
      </c>
      <c r="D5" s="1659"/>
      <c r="E5" s="1659">
        <f>IF(ISBLANK('Critical Tool &amp; Equip Stats'!C20),"",'Critical Tool &amp; Equip Stats'!C20)</f>
        <v>1</v>
      </c>
      <c r="F5" s="1659"/>
    </row>
    <row r="6" spans="1:6" ht="27" customHeight="1" x14ac:dyDescent="0.2">
      <c r="A6" s="1662" t="s">
        <v>1923</v>
      </c>
      <c r="B6" s="1662"/>
      <c r="C6" s="1659">
        <f>IF(ISBLANK('Vehicle List'!F59),"",'Vehicle List'!F59)</f>
        <v>22</v>
      </c>
      <c r="D6" s="1659"/>
      <c r="E6" s="1659">
        <f>IF(ISBLANK('Vehicle List'!F60),"",'Vehicle List'!F60)</f>
        <v>12</v>
      </c>
      <c r="F6" s="1659"/>
    </row>
    <row r="7" spans="1:6" ht="27" customHeight="1" x14ac:dyDescent="0.2">
      <c r="A7" s="1668" t="s">
        <v>1924</v>
      </c>
      <c r="B7" s="1669"/>
      <c r="C7" s="1666" t="e">
        <f>IF(ISBLANK('Palletized Seat Tracking'!#REF!),"",'Palletized Seat Tracking'!#REF!)</f>
        <v>#REF!</v>
      </c>
      <c r="D7" s="1670"/>
      <c r="E7" s="1666" t="e">
        <f>IF(ISBLANK('Palletized Seat Tracking'!#REF!),"",'Palletized Seat Tracking'!#REF!)</f>
        <v>#REF!</v>
      </c>
      <c r="F7" s="1667"/>
    </row>
    <row r="8" spans="1:6" ht="27" customHeight="1" x14ac:dyDescent="0.2">
      <c r="A8" s="1668" t="s">
        <v>1925</v>
      </c>
      <c r="B8" s="1669"/>
      <c r="C8" s="1666">
        <f>IF(ISBLANK('ATGL Archive'!I3),"",'ATGL Archive'!I3)</f>
        <v>0</v>
      </c>
      <c r="D8" s="1670"/>
      <c r="E8" s="1666">
        <f>IF(ISBLANK('ATGL Archive'!J3),"",'ATGL Archive'!J3)</f>
        <v>0</v>
      </c>
      <c r="F8" s="1667"/>
    </row>
  </sheetData>
  <dataConsolidate/>
  <mergeCells count="19">
    <mergeCell ref="A5:B5"/>
    <mergeCell ref="A6:B6"/>
    <mergeCell ref="E5:F5"/>
    <mergeCell ref="E6:F6"/>
    <mergeCell ref="C5:D5"/>
    <mergeCell ref="C6:D6"/>
    <mergeCell ref="E8:F8"/>
    <mergeCell ref="A7:B7"/>
    <mergeCell ref="A8:B8"/>
    <mergeCell ref="C7:D7"/>
    <mergeCell ref="C8:D8"/>
    <mergeCell ref="E7:F7"/>
    <mergeCell ref="A1:F1"/>
    <mergeCell ref="E4:F4"/>
    <mergeCell ref="A3:B3"/>
    <mergeCell ref="A4:B4"/>
    <mergeCell ref="C3:D3"/>
    <mergeCell ref="C4:D4"/>
    <mergeCell ref="E3:F3"/>
  </mergeCells>
  <phoneticPr fontId="5" type="noConversion"/>
  <conditionalFormatting sqref="E4:F6">
    <cfRule type="cellIs" dxfId="110" priority="1" stopIfTrue="1" operator="lessThan">
      <formula>0.8</formula>
    </cfRule>
    <cfRule type="cellIs" dxfId="109" priority="2" stopIfTrue="1" operator="between">
      <formula>0.8</formula>
      <formula>0.9</formula>
    </cfRule>
    <cfRule type="cellIs" dxfId="108" priority="3" stopIfTrue="1" operator="greaterThan">
      <formula>0.9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F4840-2B58-4E98-8C4B-55EDFF658F2E}">
  <sheetPr codeName="Sheet9">
    <tabColor indexed="13"/>
    <pageSetUpPr fitToPage="1"/>
  </sheetPr>
  <dimension ref="A1:AR72"/>
  <sheetViews>
    <sheetView showGridLines="0" topLeftCell="A31" zoomScaleNormal="100" zoomScaleSheetLayoutView="85" workbookViewId="0">
      <selection activeCell="M18" sqref="M18:AC18"/>
    </sheetView>
  </sheetViews>
  <sheetFormatPr defaultRowHeight="12.75" x14ac:dyDescent="0.2"/>
  <cols>
    <col min="1" max="1" width="1.85546875" customWidth="1"/>
    <col min="2" max="2" width="18" style="93" bestFit="1" customWidth="1"/>
    <col min="3" max="3" width="24.28515625" style="93" customWidth="1"/>
    <col min="4" max="4" width="9.85546875" style="93" bestFit="1" customWidth="1"/>
    <col min="5" max="5" width="34.42578125" style="93" customWidth="1"/>
    <col min="6" max="6" width="16.85546875" style="94" customWidth="1"/>
    <col min="7" max="7" width="20.42578125" style="94" bestFit="1" customWidth="1"/>
    <col min="8" max="8" width="15" customWidth="1"/>
    <col min="9" max="9" width="15" bestFit="1" customWidth="1"/>
    <col min="10" max="10" width="9.5703125" customWidth="1"/>
    <col min="11" max="11" width="10.5703125" style="1" hidden="1" customWidth="1"/>
    <col min="12" max="12" width="14.42578125" style="2" customWidth="1"/>
    <col min="13" max="13" width="14.28515625" style="908" customWidth="1"/>
    <col min="14" max="14" width="11.85546875" style="908" customWidth="1"/>
    <col min="15" max="15" width="14.5703125" style="908" customWidth="1"/>
    <col min="16" max="19" width="5.140625" style="908" customWidth="1"/>
    <col min="20" max="25" width="4.7109375" style="908" customWidth="1"/>
    <col min="26" max="27" width="2.7109375" style="908" customWidth="1"/>
    <col min="28" max="28" width="2.140625" style="908" customWidth="1"/>
    <col min="29" max="29" width="2.42578125" style="1" customWidth="1"/>
    <col min="30" max="30" width="13.85546875" customWidth="1"/>
    <col min="31" max="31" width="12.42578125" customWidth="1"/>
    <col min="32" max="32" width="16.28515625" customWidth="1"/>
    <col min="33" max="36" width="10" bestFit="1" customWidth="1"/>
    <col min="37" max="37" width="12" bestFit="1" customWidth="1"/>
    <col min="38" max="38" width="10.85546875" customWidth="1"/>
    <col min="39" max="39" width="9.140625" customWidth="1"/>
    <col min="40" max="41" width="11" customWidth="1"/>
    <col min="44" max="44" width="10.28515625" bestFit="1" customWidth="1"/>
    <col min="48" max="48" width="9.140625" customWidth="1"/>
  </cols>
  <sheetData>
    <row r="1" spans="1:44" ht="21" hidden="1" customHeight="1" x14ac:dyDescent="0.2">
      <c r="A1" s="872"/>
      <c r="B1" s="945"/>
      <c r="C1" s="944" t="s">
        <v>1926</v>
      </c>
      <c r="D1" s="945"/>
      <c r="E1" s="945"/>
      <c r="F1" s="945"/>
      <c r="G1" s="1021"/>
      <c r="H1" s="891"/>
      <c r="I1" s="946"/>
      <c r="J1" s="902"/>
      <c r="K1" s="905" t="s">
        <v>1927</v>
      </c>
      <c r="L1" s="906"/>
      <c r="AD1" s="1753" t="s">
        <v>1928</v>
      </c>
      <c r="AE1" s="1754"/>
      <c r="AF1" s="1754"/>
      <c r="AG1" s="1754"/>
      <c r="AH1" s="1754"/>
      <c r="AI1" s="1755"/>
      <c r="AK1" s="1748" t="s">
        <v>1929</v>
      </c>
      <c r="AL1" s="1749"/>
      <c r="AN1" s="1748" t="s">
        <v>1930</v>
      </c>
      <c r="AO1" s="1749"/>
    </row>
    <row r="2" spans="1:44" hidden="1" x14ac:dyDescent="0.2">
      <c r="A2" s="872"/>
      <c r="B2" s="702"/>
      <c r="C2" s="893" t="s">
        <v>1931</v>
      </c>
      <c r="D2" s="1708" t="s">
        <v>1932</v>
      </c>
      <c r="E2" s="1709"/>
      <c r="F2" s="305" t="s">
        <v>1933</v>
      </c>
      <c r="G2" s="1022"/>
      <c r="H2" s="892"/>
      <c r="I2" s="894" t="s">
        <v>1934</v>
      </c>
      <c r="J2" s="892"/>
      <c r="K2" s="1719"/>
      <c r="L2" s="1720"/>
      <c r="AD2" s="1710" t="s">
        <v>1935</v>
      </c>
      <c r="AE2" s="1711"/>
      <c r="AF2" s="1711"/>
      <c r="AG2" s="1711"/>
      <c r="AH2" s="1711"/>
      <c r="AI2" s="1712"/>
      <c r="AK2" s="127">
        <f ca="1">TODAY()</f>
        <v>46183</v>
      </c>
      <c r="AL2" s="127">
        <f ca="1">TODAY()+31</f>
        <v>46214</v>
      </c>
      <c r="AN2" s="15">
        <f ca="1">TODAY()</f>
        <v>46183</v>
      </c>
      <c r="AO2" s="15">
        <f ca="1">TODAY()+31</f>
        <v>46214</v>
      </c>
    </row>
    <row r="3" spans="1:44" ht="15.75" hidden="1" customHeight="1" x14ac:dyDescent="0.2">
      <c r="A3" s="872"/>
      <c r="B3" s="703"/>
      <c r="C3" s="895" t="s">
        <v>1936</v>
      </c>
      <c r="D3" s="1671" t="s">
        <v>1937</v>
      </c>
      <c r="E3" s="1670"/>
      <c r="F3" s="306" t="s">
        <v>1938</v>
      </c>
      <c r="G3" s="1023"/>
      <c r="H3" s="2"/>
      <c r="I3" s="9" t="s">
        <v>1939</v>
      </c>
      <c r="J3" s="903"/>
      <c r="K3" s="1719" t="s">
        <v>1940</v>
      </c>
      <c r="L3" s="1720"/>
      <c r="AD3" s="1713"/>
      <c r="AE3" s="1714"/>
      <c r="AF3" s="1714"/>
      <c r="AG3" s="1714"/>
      <c r="AH3" s="1714"/>
      <c r="AI3" s="1715"/>
      <c r="AK3" s="1748" t="s">
        <v>1941</v>
      </c>
      <c r="AL3" s="1749"/>
    </row>
    <row r="4" spans="1:44" hidden="1" x14ac:dyDescent="0.2">
      <c r="A4" s="872"/>
      <c r="B4" s="703"/>
      <c r="C4" s="896" t="s">
        <v>1942</v>
      </c>
      <c r="D4" s="1671" t="s">
        <v>1943</v>
      </c>
      <c r="E4" s="1670"/>
      <c r="F4" s="306" t="s">
        <v>1944</v>
      </c>
      <c r="G4" s="1023"/>
      <c r="H4" s="2"/>
      <c r="I4" s="9">
        <v>7584</v>
      </c>
      <c r="J4" s="2"/>
      <c r="K4" s="1719"/>
      <c r="L4" s="1720"/>
      <c r="AD4" s="1713"/>
      <c r="AE4" s="1714"/>
      <c r="AF4" s="1714"/>
      <c r="AG4" s="1714"/>
      <c r="AH4" s="1714"/>
      <c r="AI4" s="1715"/>
      <c r="AK4" s="29" t="s">
        <v>682</v>
      </c>
      <c r="AL4" s="129"/>
      <c r="AR4" s="262">
        <f ca="1">TODAY()+180</f>
        <v>46363</v>
      </c>
    </row>
    <row r="5" spans="1:44" hidden="1" x14ac:dyDescent="0.2">
      <c r="A5" s="872"/>
      <c r="B5" s="703"/>
      <c r="C5" s="897" t="s">
        <v>1945</v>
      </c>
      <c r="D5" s="1671" t="s">
        <v>1946</v>
      </c>
      <c r="E5" s="1670"/>
      <c r="F5" s="306" t="s">
        <v>1947</v>
      </c>
      <c r="G5" s="1023"/>
      <c r="H5" s="2"/>
      <c r="I5" s="9">
        <v>4840</v>
      </c>
      <c r="J5" s="904"/>
      <c r="K5" s="1719" t="s">
        <v>688</v>
      </c>
      <c r="L5" s="1720"/>
      <c r="AD5" s="1713"/>
      <c r="AE5" s="1714"/>
      <c r="AF5" s="1714"/>
      <c r="AG5" s="1714"/>
      <c r="AH5" s="1714"/>
      <c r="AI5" s="1715"/>
      <c r="AK5" s="29" t="s">
        <v>688</v>
      </c>
      <c r="AL5" s="130"/>
    </row>
    <row r="6" spans="1:44" hidden="1" x14ac:dyDescent="0.2">
      <c r="A6" s="872"/>
      <c r="B6" s="703"/>
      <c r="C6" s="897" t="s">
        <v>1945</v>
      </c>
      <c r="D6" s="1671" t="s">
        <v>1946</v>
      </c>
      <c r="E6" s="1670"/>
      <c r="F6" s="306" t="s">
        <v>1948</v>
      </c>
      <c r="G6" s="1023"/>
      <c r="H6" s="2"/>
      <c r="I6" s="9">
        <v>4839</v>
      </c>
      <c r="J6" s="2"/>
      <c r="K6" s="1719"/>
      <c r="L6" s="1720"/>
      <c r="AD6" s="1713"/>
      <c r="AE6" s="1714"/>
      <c r="AF6" s="1714"/>
      <c r="AG6" s="1714"/>
      <c r="AH6" s="1714"/>
      <c r="AI6" s="1715"/>
      <c r="AK6" s="29" t="s">
        <v>690</v>
      </c>
      <c r="AL6" s="265"/>
    </row>
    <row r="7" spans="1:44" ht="12.75" hidden="1" customHeight="1" x14ac:dyDescent="0.2">
      <c r="A7" s="872"/>
      <c r="B7" s="703"/>
      <c r="C7" s="897" t="s">
        <v>1949</v>
      </c>
      <c r="D7" s="1671" t="s">
        <v>1950</v>
      </c>
      <c r="E7" s="1670"/>
      <c r="F7" s="306" t="s">
        <v>1951</v>
      </c>
      <c r="G7" s="1023"/>
      <c r="H7" s="2"/>
      <c r="I7" s="9">
        <v>4719</v>
      </c>
      <c r="J7" s="913"/>
      <c r="K7" s="1721" t="s">
        <v>4</v>
      </c>
      <c r="L7" s="1722"/>
      <c r="AD7" s="1713"/>
      <c r="AE7" s="1714"/>
      <c r="AF7" s="1714"/>
      <c r="AG7" s="1714"/>
      <c r="AH7" s="1714"/>
      <c r="AI7" s="1715"/>
      <c r="AK7" s="243" t="s">
        <v>1952</v>
      </c>
      <c r="AL7" s="266"/>
    </row>
    <row r="8" spans="1:44" ht="14.25" customHeight="1" x14ac:dyDescent="0.2">
      <c r="A8" s="872"/>
      <c r="B8" s="703"/>
      <c r="C8" s="897" t="s">
        <v>1949</v>
      </c>
      <c r="D8" s="1671" t="s">
        <v>1953</v>
      </c>
      <c r="E8" s="1670"/>
      <c r="F8" s="306" t="s">
        <v>1954</v>
      </c>
      <c r="G8" s="1023"/>
      <c r="H8" s="2"/>
      <c r="I8" s="9">
        <v>5553</v>
      </c>
      <c r="J8" s="2"/>
      <c r="K8" s="1723"/>
      <c r="L8" s="1545"/>
      <c r="AD8" s="1713"/>
      <c r="AE8" s="1714"/>
      <c r="AF8" s="1714"/>
      <c r="AG8" s="1714"/>
      <c r="AH8" s="1714"/>
      <c r="AI8" s="1715"/>
      <c r="AK8" s="243" t="s">
        <v>1955</v>
      </c>
      <c r="AL8" s="268"/>
      <c r="AP8" s="140"/>
    </row>
    <row r="9" spans="1:44" ht="22.5" customHeight="1" x14ac:dyDescent="0.2">
      <c r="A9" s="872"/>
      <c r="B9" s="703"/>
      <c r="C9" s="898" t="s">
        <v>1956</v>
      </c>
      <c r="D9" s="1671" t="s">
        <v>1957</v>
      </c>
      <c r="E9" s="1670"/>
      <c r="F9" s="306" t="s">
        <v>1958</v>
      </c>
      <c r="G9" s="1023"/>
      <c r="H9" s="2"/>
      <c r="I9" s="976">
        <v>4893</v>
      </c>
      <c r="J9" s="1065"/>
      <c r="K9" s="1066"/>
      <c r="L9" s="1067" t="s">
        <v>1959</v>
      </c>
      <c r="M9" s="1067" t="s">
        <v>1960</v>
      </c>
      <c r="N9" s="1067" t="s">
        <v>1961</v>
      </c>
      <c r="O9" s="1071" t="s">
        <v>1962</v>
      </c>
      <c r="AD9" s="1713"/>
      <c r="AE9" s="1714"/>
      <c r="AF9" s="1714"/>
      <c r="AG9" s="1714"/>
      <c r="AH9" s="1714"/>
      <c r="AI9" s="1715"/>
    </row>
    <row r="10" spans="1:44" ht="21.75" customHeight="1" x14ac:dyDescent="0.2">
      <c r="A10" s="872"/>
      <c r="B10" s="703"/>
      <c r="C10" s="896" t="s">
        <v>1963</v>
      </c>
      <c r="D10" s="1671" t="s">
        <v>1957</v>
      </c>
      <c r="E10" s="1670"/>
      <c r="F10" s="306" t="s">
        <v>1964</v>
      </c>
      <c r="G10" s="1023"/>
      <c r="H10" s="2"/>
      <c r="I10" s="976" t="s">
        <v>1965</v>
      </c>
      <c r="J10" s="1068" t="s">
        <v>1966</v>
      </c>
      <c r="K10" s="1069"/>
      <c r="L10" s="1070">
        <v>11</v>
      </c>
      <c r="M10" s="1070">
        <v>2</v>
      </c>
      <c r="N10" s="1070">
        <v>6</v>
      </c>
      <c r="O10" s="1072">
        <v>4</v>
      </c>
      <c r="AD10" s="1713"/>
      <c r="AE10" s="1714"/>
      <c r="AF10" s="1714"/>
      <c r="AG10" s="1714"/>
      <c r="AH10" s="1714"/>
      <c r="AI10" s="1715"/>
    </row>
    <row r="11" spans="1:44" ht="21.75" customHeight="1" x14ac:dyDescent="0.2">
      <c r="A11" s="872"/>
      <c r="B11" s="1052"/>
      <c r="C11" s="1053"/>
      <c r="D11" s="1048"/>
      <c r="E11" s="1047"/>
      <c r="F11" s="1054"/>
      <c r="G11" s="1023"/>
      <c r="H11" s="2"/>
      <c r="I11" s="1048"/>
      <c r="J11" s="1060" t="s">
        <v>1927</v>
      </c>
      <c r="K11" s="964"/>
      <c r="L11" s="982">
        <v>7</v>
      </c>
      <c r="M11" s="1046">
        <v>2</v>
      </c>
      <c r="N11" s="982">
        <v>6</v>
      </c>
      <c r="O11" s="1055">
        <v>3</v>
      </c>
      <c r="AD11" s="1713"/>
      <c r="AE11" s="1714"/>
      <c r="AF11" s="1714"/>
      <c r="AG11" s="1714"/>
      <c r="AH11" s="1714"/>
      <c r="AI11" s="1715"/>
    </row>
    <row r="12" spans="1:44" ht="24" customHeight="1" x14ac:dyDescent="0.2">
      <c r="A12" s="872"/>
      <c r="B12" s="900"/>
      <c r="C12" s="899" t="s">
        <v>1967</v>
      </c>
      <c r="D12" s="1724" t="s">
        <v>1968</v>
      </c>
      <c r="E12" s="1725"/>
      <c r="F12" s="901" t="s">
        <v>1968</v>
      </c>
      <c r="G12" s="1023"/>
      <c r="H12" s="2"/>
      <c r="I12" s="983">
        <v>5582</v>
      </c>
      <c r="J12" s="1061" t="s">
        <v>688</v>
      </c>
      <c r="K12" s="1062"/>
      <c r="L12" s="1056">
        <v>4</v>
      </c>
      <c r="M12" s="1063"/>
      <c r="N12" s="1064"/>
      <c r="O12" s="1059">
        <v>1</v>
      </c>
      <c r="AD12" s="1716"/>
      <c r="AE12" s="1717"/>
      <c r="AF12" s="1717"/>
      <c r="AG12" s="1717"/>
      <c r="AH12" s="1717"/>
      <c r="AI12" s="1718"/>
    </row>
    <row r="13" spans="1:44" ht="24" customHeight="1" x14ac:dyDescent="0.2">
      <c r="A13" s="872"/>
      <c r="B13" s="1077"/>
      <c r="C13" s="1077"/>
      <c r="D13" s="1077"/>
      <c r="E13" s="1077"/>
      <c r="F13" s="1023"/>
      <c r="G13" s="1023"/>
      <c r="H13" s="2"/>
      <c r="I13" s="2"/>
      <c r="J13" s="1057"/>
      <c r="K13" s="1058"/>
      <c r="L13" s="1057"/>
      <c r="M13" s="1057"/>
      <c r="N13" s="1057"/>
      <c r="AD13" s="1015"/>
      <c r="AE13" s="1015"/>
      <c r="AF13" s="1015"/>
      <c r="AG13" s="1015"/>
      <c r="AH13" s="1015"/>
      <c r="AI13" s="1015"/>
    </row>
    <row r="14" spans="1:44" ht="20.25" customHeight="1" x14ac:dyDescent="0.3">
      <c r="A14" s="872"/>
      <c r="B14" s="1672" t="s">
        <v>1969</v>
      </c>
      <c r="C14" s="1673"/>
      <c r="D14" s="1673"/>
      <c r="E14" s="1673"/>
      <c r="F14" s="1673"/>
      <c r="G14" s="1673"/>
      <c r="H14" s="1673"/>
      <c r="I14" s="1673"/>
      <c r="J14" s="1673"/>
      <c r="K14" s="1673"/>
      <c r="L14" s="1673"/>
      <c r="M14" s="1673"/>
      <c r="N14" s="1673"/>
      <c r="O14" s="1673"/>
      <c r="P14" s="1673"/>
      <c r="Q14" s="1673"/>
      <c r="R14" s="1673"/>
      <c r="S14" s="1673"/>
      <c r="T14" s="1673"/>
      <c r="U14" s="1673"/>
      <c r="V14" s="1673"/>
      <c r="W14" s="1673"/>
      <c r="X14" s="1673"/>
      <c r="Y14" s="1673"/>
      <c r="Z14" s="1673"/>
      <c r="AA14" s="1673"/>
      <c r="AB14" s="1673"/>
      <c r="AC14" s="1673"/>
      <c r="AD14" s="1674"/>
      <c r="AE14" s="128"/>
      <c r="AF14" s="128"/>
      <c r="AG14" s="92"/>
    </row>
    <row r="15" spans="1:44" s="2" customFormat="1" ht="11.25" customHeight="1" x14ac:dyDescent="0.2">
      <c r="A15" s="888"/>
      <c r="B15" s="914"/>
      <c r="C15" s="914" t="s">
        <v>1970</v>
      </c>
      <c r="D15" s="914" t="s">
        <v>1971</v>
      </c>
      <c r="E15" s="914" t="s">
        <v>1972</v>
      </c>
      <c r="F15" s="914" t="s">
        <v>1973</v>
      </c>
      <c r="G15" s="914" t="s">
        <v>1974</v>
      </c>
      <c r="H15" s="916" t="s">
        <v>1975</v>
      </c>
      <c r="I15" s="915" t="s">
        <v>8</v>
      </c>
      <c r="J15" s="916"/>
      <c r="K15" s="917" t="s">
        <v>1976</v>
      </c>
      <c r="L15" s="918" t="s">
        <v>1977</v>
      </c>
      <c r="M15" s="1760" t="s">
        <v>1978</v>
      </c>
      <c r="N15" s="1761"/>
      <c r="O15" s="1761"/>
      <c r="P15" s="1761"/>
      <c r="Q15" s="1761"/>
      <c r="R15" s="1761"/>
      <c r="S15" s="1761"/>
      <c r="T15" s="1761"/>
      <c r="U15" s="1761"/>
      <c r="V15" s="1761"/>
      <c r="W15" s="1761"/>
      <c r="X15" s="1761"/>
      <c r="Y15" s="1761"/>
      <c r="Z15" s="1761"/>
      <c r="AA15" s="1761"/>
      <c r="AB15" s="1761"/>
      <c r="AC15" s="1762"/>
      <c r="AD15" s="917" t="s">
        <v>1979</v>
      </c>
      <c r="AE15" s="917" t="s">
        <v>1980</v>
      </c>
    </row>
    <row r="16" spans="1:44" s="2" customFormat="1" x14ac:dyDescent="0.2">
      <c r="A16" s="888"/>
      <c r="B16" s="868"/>
      <c r="C16" s="868"/>
      <c r="D16" s="868"/>
      <c r="E16" s="868"/>
      <c r="F16" s="868"/>
      <c r="G16" s="868"/>
      <c r="H16" s="881"/>
      <c r="I16" s="880"/>
      <c r="J16" s="889"/>
      <c r="K16" s="882"/>
      <c r="L16" s="960"/>
      <c r="M16" s="909"/>
      <c r="N16" s="909"/>
      <c r="O16" s="909"/>
      <c r="P16" s="909"/>
      <c r="Q16" s="909"/>
      <c r="R16" s="909"/>
      <c r="S16" s="909"/>
      <c r="T16" s="909"/>
      <c r="U16" s="909"/>
      <c r="V16" s="909"/>
      <c r="W16" s="909"/>
      <c r="X16" s="909"/>
      <c r="Y16" s="909"/>
      <c r="Z16" s="909"/>
      <c r="AA16" s="909"/>
      <c r="AB16" s="909"/>
      <c r="AC16" s="883"/>
      <c r="AD16" s="884"/>
    </row>
    <row r="17" spans="1:32" ht="30" customHeight="1" x14ac:dyDescent="0.2">
      <c r="A17" s="872"/>
      <c r="B17" s="712" t="s">
        <v>1981</v>
      </c>
      <c r="C17" s="712" t="s">
        <v>1982</v>
      </c>
      <c r="D17" s="712" t="s">
        <v>1945</v>
      </c>
      <c r="E17" s="712" t="s">
        <v>2882</v>
      </c>
      <c r="F17" s="712" t="s">
        <v>1983</v>
      </c>
      <c r="G17" s="712" t="s">
        <v>1984</v>
      </c>
      <c r="H17" s="715" t="s">
        <v>1985</v>
      </c>
      <c r="I17" s="1074" t="s">
        <v>682</v>
      </c>
      <c r="J17" s="1726" t="s">
        <v>1923</v>
      </c>
      <c r="K17" s="697"/>
      <c r="L17" s="1073">
        <v>46202</v>
      </c>
      <c r="M17" s="1742" t="s">
        <v>1986</v>
      </c>
      <c r="N17" s="1743"/>
      <c r="O17" s="1743"/>
      <c r="P17" s="1743"/>
      <c r="Q17" s="1743"/>
      <c r="R17" s="1743"/>
      <c r="S17" s="1743"/>
      <c r="T17" s="1743"/>
      <c r="U17" s="1743"/>
      <c r="V17" s="1743"/>
      <c r="W17" s="1743"/>
      <c r="X17" s="1743"/>
      <c r="Y17" s="1743"/>
      <c r="Z17" s="1743"/>
      <c r="AA17" s="1743"/>
      <c r="AB17" s="1743"/>
      <c r="AC17" s="1744"/>
      <c r="AD17" s="818" t="s">
        <v>53</v>
      </c>
      <c r="AE17" s="2">
        <v>1</v>
      </c>
      <c r="AF17" t="s">
        <v>1987</v>
      </c>
    </row>
    <row r="18" spans="1:32" ht="30" customHeight="1" x14ac:dyDescent="0.2">
      <c r="A18" s="872"/>
      <c r="B18" s="712" t="s">
        <v>1988</v>
      </c>
      <c r="C18" s="712" t="s">
        <v>1989</v>
      </c>
      <c r="D18" s="712" t="s">
        <v>1945</v>
      </c>
      <c r="E18" s="712" t="s">
        <v>2882</v>
      </c>
      <c r="F18" s="712" t="s">
        <v>1990</v>
      </c>
      <c r="G18" s="712" t="s">
        <v>1984</v>
      </c>
      <c r="H18" s="715" t="s">
        <v>1985</v>
      </c>
      <c r="I18" s="714" t="s">
        <v>682</v>
      </c>
      <c r="J18" s="1726"/>
      <c r="K18" s="697"/>
      <c r="L18" s="1049">
        <v>46202</v>
      </c>
      <c r="M18" s="1742"/>
      <c r="N18" s="1743"/>
      <c r="O18" s="1743"/>
      <c r="P18" s="1743"/>
      <c r="Q18" s="1743"/>
      <c r="R18" s="1743"/>
      <c r="S18" s="1743"/>
      <c r="T18" s="1743"/>
      <c r="U18" s="1743"/>
      <c r="V18" s="1743"/>
      <c r="W18" s="1743"/>
      <c r="X18" s="1743"/>
      <c r="Y18" s="1743"/>
      <c r="Z18" s="1743"/>
      <c r="AA18" s="1743"/>
      <c r="AB18" s="1743"/>
      <c r="AC18" s="1744"/>
      <c r="AD18" s="818" t="s">
        <v>53</v>
      </c>
      <c r="AE18" s="2">
        <v>11</v>
      </c>
      <c r="AF18" t="s">
        <v>1987</v>
      </c>
    </row>
    <row r="19" spans="1:32" ht="30" customHeight="1" x14ac:dyDescent="0.2">
      <c r="A19" s="872"/>
      <c r="B19" s="952" t="s">
        <v>1991</v>
      </c>
      <c r="C19" s="712" t="s">
        <v>1992</v>
      </c>
      <c r="D19" s="712" t="s">
        <v>1953</v>
      </c>
      <c r="E19" s="712" t="s">
        <v>2882</v>
      </c>
      <c r="F19" s="952" t="s">
        <v>1993</v>
      </c>
      <c r="G19" s="712" t="s">
        <v>1984</v>
      </c>
      <c r="H19" s="715" t="s">
        <v>1994</v>
      </c>
      <c r="I19" s="710" t="s">
        <v>682</v>
      </c>
      <c r="J19" s="1726"/>
      <c r="K19" s="890" t="s">
        <v>1995</v>
      </c>
      <c r="L19" s="1353">
        <v>47295</v>
      </c>
      <c r="M19" s="1750"/>
      <c r="N19" s="1751"/>
      <c r="O19" s="1751"/>
      <c r="P19" s="1751"/>
      <c r="Q19" s="1751"/>
      <c r="R19" s="1751"/>
      <c r="S19" s="1751"/>
      <c r="T19" s="1751"/>
      <c r="U19" s="1751"/>
      <c r="V19" s="1751"/>
      <c r="W19" s="1751"/>
      <c r="X19" s="1751"/>
      <c r="Y19" s="1751"/>
      <c r="Z19" s="1751"/>
      <c r="AA19" s="1751"/>
      <c r="AB19" s="1751"/>
      <c r="AC19" s="1752"/>
      <c r="AD19" s="991" t="s">
        <v>53</v>
      </c>
      <c r="AE19" s="2">
        <v>4</v>
      </c>
      <c r="AF19" t="s">
        <v>1987</v>
      </c>
    </row>
    <row r="20" spans="1:32" ht="30" customHeight="1" x14ac:dyDescent="0.2">
      <c r="A20" s="872"/>
      <c r="B20" s="974" t="s">
        <v>1991</v>
      </c>
      <c r="C20" s="952" t="s">
        <v>1996</v>
      </c>
      <c r="D20" s="952" t="s">
        <v>1945</v>
      </c>
      <c r="E20" s="712" t="s">
        <v>2883</v>
      </c>
      <c r="F20" s="712" t="s">
        <v>1997</v>
      </c>
      <c r="G20" s="712" t="s">
        <v>1984</v>
      </c>
      <c r="H20" s="715" t="s">
        <v>1998</v>
      </c>
      <c r="I20" s="710" t="s">
        <v>682</v>
      </c>
      <c r="J20" s="1726"/>
      <c r="K20" s="697" t="s">
        <v>1995</v>
      </c>
      <c r="L20" s="1049" t="s">
        <v>879</v>
      </c>
      <c r="M20" s="1756"/>
      <c r="N20" s="1757"/>
      <c r="O20" s="1757"/>
      <c r="P20" s="1757"/>
      <c r="Q20" s="1757"/>
      <c r="R20" s="1757"/>
      <c r="S20" s="1757"/>
      <c r="T20" s="1757"/>
      <c r="U20" s="1757"/>
      <c r="V20" s="1757"/>
      <c r="W20" s="1757"/>
      <c r="X20" s="1757"/>
      <c r="Y20" s="1757"/>
      <c r="Z20" s="1757"/>
      <c r="AA20" s="1757"/>
      <c r="AB20" s="1757"/>
      <c r="AC20" s="1758"/>
      <c r="AD20" s="818">
        <v>45805</v>
      </c>
      <c r="AE20" s="2">
        <v>2</v>
      </c>
      <c r="AF20" t="s">
        <v>1987</v>
      </c>
    </row>
    <row r="21" spans="1:32" ht="30" customHeight="1" x14ac:dyDescent="0.2">
      <c r="A21" s="872"/>
      <c r="B21" s="952" t="s">
        <v>1999</v>
      </c>
      <c r="C21" s="712" t="s">
        <v>2000</v>
      </c>
      <c r="D21" s="712" t="s">
        <v>1953</v>
      </c>
      <c r="E21" s="712" t="s">
        <v>2001</v>
      </c>
      <c r="F21" s="712" t="s">
        <v>2002</v>
      </c>
      <c r="G21" s="712" t="s">
        <v>1984</v>
      </c>
      <c r="H21" s="715" t="s">
        <v>1994</v>
      </c>
      <c r="I21" s="714" t="s">
        <v>682</v>
      </c>
      <c r="J21" s="1726"/>
      <c r="K21" s="709" t="s">
        <v>38</v>
      </c>
      <c r="L21" s="1049" t="s">
        <v>879</v>
      </c>
      <c r="M21" s="1739" t="s">
        <v>2003</v>
      </c>
      <c r="N21" s="1740"/>
      <c r="O21" s="1740"/>
      <c r="P21" s="1740"/>
      <c r="Q21" s="1740"/>
      <c r="R21" s="1740"/>
      <c r="S21" s="1740"/>
      <c r="T21" s="1740"/>
      <c r="U21" s="1740"/>
      <c r="V21" s="1740"/>
      <c r="W21" s="1740"/>
      <c r="X21" s="1740"/>
      <c r="Y21" s="1740"/>
      <c r="Z21" s="1740"/>
      <c r="AA21" s="1740"/>
      <c r="AB21" s="1740"/>
      <c r="AC21" s="1741"/>
      <c r="AD21" s="818">
        <v>46168</v>
      </c>
      <c r="AE21" s="2"/>
      <c r="AF21" t="s">
        <v>1987</v>
      </c>
    </row>
    <row r="22" spans="1:32" ht="30" customHeight="1" x14ac:dyDescent="0.2">
      <c r="A22" s="872"/>
      <c r="B22" s="952" t="s">
        <v>1991</v>
      </c>
      <c r="C22" s="712" t="s">
        <v>2004</v>
      </c>
      <c r="D22" s="712" t="s">
        <v>1968</v>
      </c>
      <c r="E22" s="712" t="s">
        <v>2005</v>
      </c>
      <c r="F22" s="712" t="s">
        <v>2006</v>
      </c>
      <c r="G22" s="712" t="s">
        <v>1984</v>
      </c>
      <c r="H22" s="715" t="s">
        <v>1998</v>
      </c>
      <c r="I22" s="710" t="s">
        <v>682</v>
      </c>
      <c r="J22" s="1726"/>
      <c r="K22" s="697" t="s">
        <v>1995</v>
      </c>
      <c r="L22" s="1050" t="s">
        <v>879</v>
      </c>
      <c r="M22" s="1736"/>
      <c r="N22" s="1737"/>
      <c r="O22" s="1737"/>
      <c r="P22" s="1737"/>
      <c r="Q22" s="1737"/>
      <c r="R22" s="1737"/>
      <c r="S22" s="1737"/>
      <c r="T22" s="1737"/>
      <c r="U22" s="1737"/>
      <c r="V22" s="1737"/>
      <c r="W22" s="1737"/>
      <c r="X22" s="1737"/>
      <c r="Y22" s="1737"/>
      <c r="Z22" s="1737"/>
      <c r="AA22" s="1737"/>
      <c r="AB22" s="1737"/>
      <c r="AC22" s="1738"/>
      <c r="AD22" s="991">
        <v>45665</v>
      </c>
      <c r="AE22" s="2">
        <v>13</v>
      </c>
      <c r="AF22" t="s">
        <v>1987</v>
      </c>
    </row>
    <row r="23" spans="1:32" ht="30" customHeight="1" x14ac:dyDescent="0.2">
      <c r="A23" s="872"/>
      <c r="B23" s="952" t="s">
        <v>2007</v>
      </c>
      <c r="C23" s="712" t="s">
        <v>1996</v>
      </c>
      <c r="D23" s="712" t="s">
        <v>1945</v>
      </c>
      <c r="E23" s="712" t="s">
        <v>2008</v>
      </c>
      <c r="F23" s="712" t="s">
        <v>2009</v>
      </c>
      <c r="G23" s="712" t="s">
        <v>1984</v>
      </c>
      <c r="H23" s="715" t="s">
        <v>1998</v>
      </c>
      <c r="I23" s="756" t="s">
        <v>682</v>
      </c>
      <c r="J23" s="1726"/>
      <c r="K23" s="697" t="s">
        <v>1995</v>
      </c>
      <c r="L23" s="1049" t="s">
        <v>879</v>
      </c>
      <c r="M23" s="1733" t="s">
        <v>2010</v>
      </c>
      <c r="N23" s="1734"/>
      <c r="O23" s="1734"/>
      <c r="P23" s="1734"/>
      <c r="Q23" s="1734"/>
      <c r="R23" s="1734"/>
      <c r="S23" s="1734"/>
      <c r="T23" s="1734"/>
      <c r="U23" s="1734"/>
      <c r="V23" s="1734"/>
      <c r="W23" s="1734"/>
      <c r="X23" s="1734"/>
      <c r="Y23" s="1734"/>
      <c r="Z23" s="1734"/>
      <c r="AA23" s="1734"/>
      <c r="AB23" s="1734"/>
      <c r="AC23" s="1735"/>
      <c r="AD23" s="818" t="s">
        <v>53</v>
      </c>
      <c r="AE23" s="2">
        <v>6</v>
      </c>
      <c r="AF23" t="s">
        <v>1987</v>
      </c>
    </row>
    <row r="24" spans="1:32" ht="30" customHeight="1" x14ac:dyDescent="0.2">
      <c r="A24" s="872"/>
      <c r="B24" s="952" t="s">
        <v>2007</v>
      </c>
      <c r="C24" s="712" t="s">
        <v>1989</v>
      </c>
      <c r="D24" s="712" t="s">
        <v>1945</v>
      </c>
      <c r="E24" s="712" t="s">
        <v>2011</v>
      </c>
      <c r="F24" s="712" t="s">
        <v>2012</v>
      </c>
      <c r="G24" s="712" t="s">
        <v>1984</v>
      </c>
      <c r="H24" s="953" t="s">
        <v>2013</v>
      </c>
      <c r="I24" s="714" t="s">
        <v>682</v>
      </c>
      <c r="J24" s="1726"/>
      <c r="K24" s="697" t="s">
        <v>38</v>
      </c>
      <c r="L24" s="1051" t="s">
        <v>879</v>
      </c>
      <c r="M24" s="1745" t="s">
        <v>2014</v>
      </c>
      <c r="N24" s="1746"/>
      <c r="O24" s="1746"/>
      <c r="P24" s="1746"/>
      <c r="Q24" s="1746"/>
      <c r="R24" s="1746"/>
      <c r="S24" s="1746"/>
      <c r="T24" s="1746"/>
      <c r="U24" s="1746"/>
      <c r="V24" s="1746"/>
      <c r="W24" s="1746"/>
      <c r="X24" s="1746"/>
      <c r="Y24" s="1746"/>
      <c r="Z24" s="1746"/>
      <c r="AA24" s="1746"/>
      <c r="AB24" s="1746"/>
      <c r="AC24" s="1747"/>
      <c r="AD24" s="991" t="s">
        <v>53</v>
      </c>
      <c r="AE24" s="2">
        <v>12</v>
      </c>
      <c r="AF24" t="s">
        <v>1987</v>
      </c>
    </row>
    <row r="25" spans="1:32" ht="30" customHeight="1" x14ac:dyDescent="0.2">
      <c r="A25" s="872"/>
      <c r="B25" s="952" t="s">
        <v>2007</v>
      </c>
      <c r="C25" s="712" t="s">
        <v>2015</v>
      </c>
      <c r="D25" s="712" t="s">
        <v>1945</v>
      </c>
      <c r="E25" s="712" t="s">
        <v>2884</v>
      </c>
      <c r="F25" s="712" t="s">
        <v>2016</v>
      </c>
      <c r="G25" s="712" t="s">
        <v>1984</v>
      </c>
      <c r="H25" s="715" t="s">
        <v>2013</v>
      </c>
      <c r="I25" s="714" t="s">
        <v>1952</v>
      </c>
      <c r="J25" s="1726"/>
      <c r="K25" s="697" t="s">
        <v>1995</v>
      </c>
      <c r="L25" s="1051" t="s">
        <v>879</v>
      </c>
      <c r="M25" s="1730" t="s">
        <v>2017</v>
      </c>
      <c r="N25" s="1731"/>
      <c r="O25" s="1731"/>
      <c r="P25" s="1731"/>
      <c r="Q25" s="1731"/>
      <c r="R25" s="1731"/>
      <c r="S25" s="1731"/>
      <c r="T25" s="1731"/>
      <c r="U25" s="1731"/>
      <c r="V25" s="1731"/>
      <c r="W25" s="1731"/>
      <c r="X25" s="1731"/>
      <c r="Y25" s="1731"/>
      <c r="Z25" s="1731"/>
      <c r="AA25" s="1731"/>
      <c r="AB25" s="1731"/>
      <c r="AC25" s="1732"/>
      <c r="AD25" s="991">
        <v>45961</v>
      </c>
      <c r="AE25" s="2"/>
      <c r="AF25" t="s">
        <v>1987</v>
      </c>
    </row>
    <row r="26" spans="1:32" ht="30" customHeight="1" x14ac:dyDescent="0.2">
      <c r="A26" s="872"/>
      <c r="B26" s="712" t="s">
        <v>2018</v>
      </c>
      <c r="C26" s="712" t="s">
        <v>2019</v>
      </c>
      <c r="D26" s="712" t="s">
        <v>2020</v>
      </c>
      <c r="E26" s="712" t="s">
        <v>2019</v>
      </c>
      <c r="F26" s="712" t="s">
        <v>2021</v>
      </c>
      <c r="G26" s="712" t="s">
        <v>2022</v>
      </c>
      <c r="H26" s="715" t="s">
        <v>2023</v>
      </c>
      <c r="I26" s="710" t="s">
        <v>682</v>
      </c>
      <c r="J26" s="1726"/>
      <c r="K26" s="697" t="s">
        <v>38</v>
      </c>
      <c r="L26" s="1051" t="s">
        <v>879</v>
      </c>
      <c r="M26" s="1727"/>
      <c r="N26" s="1728"/>
      <c r="O26" s="1728"/>
      <c r="P26" s="1728"/>
      <c r="Q26" s="1728"/>
      <c r="R26" s="1728"/>
      <c r="S26" s="1728"/>
      <c r="T26" s="1728"/>
      <c r="U26" s="1728"/>
      <c r="V26" s="1728"/>
      <c r="W26" s="1728"/>
      <c r="X26" s="1728"/>
      <c r="Y26" s="1728"/>
      <c r="Z26" s="1728"/>
      <c r="AA26" s="1728"/>
      <c r="AB26" s="1728"/>
      <c r="AC26" s="1729"/>
      <c r="AD26" s="991">
        <v>46149</v>
      </c>
      <c r="AE26" s="2">
        <v>7</v>
      </c>
      <c r="AF26" t="s">
        <v>1987</v>
      </c>
    </row>
    <row r="27" spans="1:32" ht="30" customHeight="1" x14ac:dyDescent="0.2">
      <c r="A27" s="872"/>
      <c r="B27" s="952" t="s">
        <v>2024</v>
      </c>
      <c r="C27" s="712" t="s">
        <v>1989</v>
      </c>
      <c r="D27" s="712" t="s">
        <v>1945</v>
      </c>
      <c r="E27" s="712" t="s">
        <v>2025</v>
      </c>
      <c r="F27" s="712" t="s">
        <v>2026</v>
      </c>
      <c r="G27" s="712" t="s">
        <v>1984</v>
      </c>
      <c r="H27" s="715" t="s">
        <v>2023</v>
      </c>
      <c r="I27" s="756" t="s">
        <v>682</v>
      </c>
      <c r="K27" s="871"/>
      <c r="L27" s="1049" t="s">
        <v>879</v>
      </c>
      <c r="M27" s="1681" t="s">
        <v>2027</v>
      </c>
      <c r="N27" s="1681"/>
      <c r="O27" s="1681"/>
      <c r="P27" s="1681"/>
      <c r="Q27" s="1681"/>
      <c r="R27" s="1681"/>
      <c r="S27" s="1681"/>
      <c r="T27" s="1681"/>
      <c r="U27" s="1681"/>
      <c r="V27" s="1681"/>
      <c r="W27" s="1681"/>
      <c r="X27" s="1681"/>
      <c r="Y27" s="1681"/>
      <c r="Z27" s="1681"/>
      <c r="AA27" s="1681"/>
      <c r="AB27" s="1681"/>
      <c r="AC27" s="1682"/>
      <c r="AD27" s="873" t="s">
        <v>53</v>
      </c>
      <c r="AE27" s="2">
        <v>3</v>
      </c>
      <c r="AF27" t="s">
        <v>1987</v>
      </c>
    </row>
    <row r="28" spans="1:32" ht="30" customHeight="1" x14ac:dyDescent="0.2">
      <c r="A28" s="872"/>
      <c r="B28" s="954"/>
      <c r="C28" s="955"/>
      <c r="D28" s="955"/>
      <c r="E28" s="955"/>
      <c r="F28" s="955"/>
      <c r="G28" s="955"/>
      <c r="H28" s="956"/>
      <c r="I28" s="957"/>
      <c r="J28" s="870"/>
      <c r="K28" s="697" t="s">
        <v>38</v>
      </c>
      <c r="L28" s="910"/>
      <c r="M28" s="910"/>
      <c r="N28" s="910"/>
      <c r="O28" s="910"/>
      <c r="P28" s="910"/>
      <c r="Q28" s="910"/>
      <c r="R28" s="910"/>
      <c r="S28" s="910"/>
      <c r="T28" s="910"/>
      <c r="U28" s="910"/>
      <c r="V28" s="910"/>
      <c r="W28" s="910"/>
      <c r="X28" s="910"/>
      <c r="Y28" s="910"/>
      <c r="Z28" s="910"/>
      <c r="AA28" s="910"/>
      <c r="AB28" s="907"/>
      <c r="AC28" s="818">
        <v>45795</v>
      </c>
    </row>
    <row r="29" spans="1:32" ht="30" customHeight="1" x14ac:dyDescent="0.2">
      <c r="A29" s="872"/>
      <c r="B29" s="712" t="s">
        <v>2028</v>
      </c>
      <c r="C29" s="718" t="s">
        <v>2029</v>
      </c>
      <c r="D29" s="718" t="s">
        <v>1945</v>
      </c>
      <c r="E29" s="712" t="s">
        <v>2030</v>
      </c>
      <c r="F29" s="712" t="s">
        <v>2031</v>
      </c>
      <c r="G29" s="712" t="s">
        <v>2032</v>
      </c>
      <c r="H29" s="715" t="s">
        <v>2023</v>
      </c>
      <c r="I29" s="714" t="s">
        <v>1952</v>
      </c>
      <c r="J29" s="717"/>
      <c r="K29" s="697" t="s">
        <v>1995</v>
      </c>
      <c r="L29" s="713" t="s">
        <v>879</v>
      </c>
      <c r="M29" s="1658" t="s">
        <v>2033</v>
      </c>
      <c r="N29" s="1658"/>
      <c r="O29" s="1658"/>
      <c r="P29" s="1658"/>
      <c r="Q29" s="1658"/>
      <c r="R29" s="1658"/>
      <c r="S29" s="1658"/>
      <c r="T29" s="1658"/>
      <c r="U29" s="1658"/>
      <c r="V29" s="1658"/>
      <c r="W29" s="1658"/>
      <c r="X29" s="1658"/>
      <c r="Y29" s="1658"/>
      <c r="Z29" s="1658"/>
      <c r="AA29" s="1658"/>
      <c r="AB29" s="1658"/>
      <c r="AC29" s="1658"/>
      <c r="AD29" s="818">
        <v>45709</v>
      </c>
    </row>
    <row r="30" spans="1:32" ht="30" customHeight="1" x14ac:dyDescent="0.2">
      <c r="A30" s="872"/>
      <c r="B30" s="712" t="s">
        <v>2028</v>
      </c>
      <c r="C30" s="718" t="s">
        <v>2029</v>
      </c>
      <c r="D30" s="718" t="s">
        <v>1945</v>
      </c>
      <c r="E30" s="712" t="s">
        <v>2034</v>
      </c>
      <c r="F30" s="712" t="s">
        <v>2035</v>
      </c>
      <c r="G30" s="712" t="s">
        <v>2032</v>
      </c>
      <c r="H30" s="715" t="s">
        <v>2023</v>
      </c>
      <c r="I30" s="714" t="s">
        <v>688</v>
      </c>
      <c r="J30" s="715"/>
      <c r="K30" s="697" t="s">
        <v>38</v>
      </c>
      <c r="L30" s="713" t="s">
        <v>879</v>
      </c>
      <c r="M30" s="1776" t="s">
        <v>2036</v>
      </c>
      <c r="N30" s="1777"/>
      <c r="O30" s="1777"/>
      <c r="P30" s="1777"/>
      <c r="Q30" s="1777"/>
      <c r="R30" s="1777"/>
      <c r="S30" s="1777"/>
      <c r="T30" s="1777"/>
      <c r="U30" s="1777"/>
      <c r="V30" s="1777"/>
      <c r="W30" s="1777"/>
      <c r="X30" s="1777"/>
      <c r="Y30" s="1777"/>
      <c r="Z30" s="1777"/>
      <c r="AA30" s="1777"/>
      <c r="AB30" s="1777"/>
      <c r="AC30" s="1778"/>
      <c r="AD30" s="818">
        <v>45665</v>
      </c>
    </row>
    <row r="31" spans="1:32" ht="30" customHeight="1" x14ac:dyDescent="0.2">
      <c r="A31" s="872"/>
      <c r="B31" s="712" t="s">
        <v>2028</v>
      </c>
      <c r="C31" s="718" t="s">
        <v>2029</v>
      </c>
      <c r="D31" s="718" t="s">
        <v>1945</v>
      </c>
      <c r="E31" s="712" t="s">
        <v>2034</v>
      </c>
      <c r="F31" s="712" t="s">
        <v>2037</v>
      </c>
      <c r="G31" s="712" t="s">
        <v>2032</v>
      </c>
      <c r="H31" s="715" t="s">
        <v>2023</v>
      </c>
      <c r="I31" s="714" t="s">
        <v>688</v>
      </c>
      <c r="J31" s="711"/>
      <c r="K31" s="697" t="s">
        <v>38</v>
      </c>
      <c r="L31" s="992" t="s">
        <v>879</v>
      </c>
      <c r="M31" s="1779" t="s">
        <v>2038</v>
      </c>
      <c r="N31" s="1779"/>
      <c r="O31" s="1779"/>
      <c r="P31" s="1779"/>
      <c r="Q31" s="1779"/>
      <c r="R31" s="1779"/>
      <c r="S31" s="1779"/>
      <c r="T31" s="1779"/>
      <c r="U31" s="1779"/>
      <c r="V31" s="1779"/>
      <c r="W31" s="1779"/>
      <c r="X31" s="1779"/>
      <c r="Y31" s="1779"/>
      <c r="Z31" s="1779"/>
      <c r="AA31" s="1779"/>
      <c r="AB31" s="1779"/>
      <c r="AC31" s="1780"/>
      <c r="AD31" s="1352">
        <v>46401</v>
      </c>
      <c r="AE31">
        <v>8</v>
      </c>
    </row>
    <row r="32" spans="1:32" ht="30" customHeight="1" x14ac:dyDescent="0.2">
      <c r="A32" s="872"/>
      <c r="B32" s="712" t="s">
        <v>2028</v>
      </c>
      <c r="C32" s="712" t="s">
        <v>2039</v>
      </c>
      <c r="D32" s="718" t="s">
        <v>1945</v>
      </c>
      <c r="E32" s="712" t="s">
        <v>2040</v>
      </c>
      <c r="F32" s="712" t="s">
        <v>2041</v>
      </c>
      <c r="G32" s="712" t="s">
        <v>2032</v>
      </c>
      <c r="H32" s="715" t="s">
        <v>2023</v>
      </c>
      <c r="I32" s="714" t="s">
        <v>688</v>
      </c>
      <c r="J32" s="1692" t="s">
        <v>2042</v>
      </c>
      <c r="K32" s="697" t="s">
        <v>1995</v>
      </c>
      <c r="L32" s="716" t="s">
        <v>879</v>
      </c>
      <c r="M32" s="1756" t="s">
        <v>2043</v>
      </c>
      <c r="N32" s="1757"/>
      <c r="O32" s="1757"/>
      <c r="P32" s="1757"/>
      <c r="Q32" s="1757"/>
      <c r="R32" s="1757"/>
      <c r="S32" s="1757"/>
      <c r="T32" s="1757"/>
      <c r="U32" s="1757"/>
      <c r="V32" s="1757"/>
      <c r="W32" s="1757"/>
      <c r="X32" s="1757"/>
      <c r="Y32" s="1757"/>
      <c r="Z32" s="1757"/>
      <c r="AA32" s="1757"/>
      <c r="AB32" s="1757"/>
      <c r="AC32" s="1758"/>
      <c r="AD32" s="818">
        <v>45949</v>
      </c>
    </row>
    <row r="33" spans="1:34" ht="30" customHeight="1" x14ac:dyDescent="0.2">
      <c r="A33" s="872"/>
      <c r="B33" s="712" t="s">
        <v>2028</v>
      </c>
      <c r="C33" s="712" t="s">
        <v>2039</v>
      </c>
      <c r="D33" s="718" t="s">
        <v>1945</v>
      </c>
      <c r="E33" s="712" t="s">
        <v>2040</v>
      </c>
      <c r="F33" s="712" t="s">
        <v>2044</v>
      </c>
      <c r="G33" s="712" t="s">
        <v>2032</v>
      </c>
      <c r="H33" s="715" t="s">
        <v>2023</v>
      </c>
      <c r="I33" s="714" t="s">
        <v>682</v>
      </c>
      <c r="J33" s="1693"/>
      <c r="K33" s="871"/>
      <c r="L33" s="713" t="s">
        <v>879</v>
      </c>
      <c r="M33" s="1706" t="s">
        <v>2045</v>
      </c>
      <c r="N33" s="1707"/>
      <c r="O33" s="1707"/>
      <c r="P33" s="1707"/>
      <c r="Q33" s="1707"/>
      <c r="R33" s="1707"/>
      <c r="S33" s="1707"/>
      <c r="T33" s="1707"/>
      <c r="U33" s="1707"/>
      <c r="V33" s="1707"/>
      <c r="W33" s="1707"/>
      <c r="X33" s="1707"/>
      <c r="Y33" s="1707"/>
      <c r="Z33" s="1707"/>
      <c r="AA33" s="1707"/>
      <c r="AB33" s="1707"/>
      <c r="AC33" s="1707"/>
      <c r="AD33" s="908"/>
      <c r="AE33" s="908"/>
      <c r="AF33" s="908"/>
      <c r="AG33" s="908"/>
      <c r="AH33" s="908"/>
    </row>
    <row r="34" spans="1:34" ht="30" customHeight="1" x14ac:dyDescent="0.2">
      <c r="A34" s="872"/>
      <c r="B34" s="955"/>
      <c r="C34" s="955"/>
      <c r="D34" s="958"/>
      <c r="E34" s="955"/>
      <c r="F34" s="955"/>
      <c r="G34" s="955"/>
      <c r="H34" s="959"/>
      <c r="I34" s="957"/>
      <c r="J34" s="869"/>
      <c r="K34" s="697" t="s">
        <v>2046</v>
      </c>
      <c r="L34" s="713"/>
      <c r="M34" s="1781"/>
      <c r="N34" s="1782"/>
      <c r="O34" s="1782"/>
      <c r="P34" s="1782"/>
      <c r="Q34" s="1782"/>
      <c r="R34" s="1782"/>
      <c r="S34" s="1782"/>
      <c r="T34" s="1782"/>
      <c r="U34" s="1782"/>
      <c r="V34" s="1782"/>
      <c r="W34" s="1782"/>
      <c r="X34" s="1782"/>
      <c r="Y34" s="1782"/>
      <c r="Z34" s="1782"/>
      <c r="AA34" s="1782"/>
      <c r="AB34" s="1782"/>
      <c r="AC34" s="1783"/>
      <c r="AD34" s="818">
        <v>45813</v>
      </c>
      <c r="AH34" t="s">
        <v>2047</v>
      </c>
    </row>
    <row r="35" spans="1:34" ht="30" customHeight="1" x14ac:dyDescent="0.2">
      <c r="A35" s="872"/>
      <c r="B35" s="246"/>
      <c r="C35" s="246" t="s">
        <v>2048</v>
      </c>
      <c r="D35" s="246" t="s">
        <v>2020</v>
      </c>
      <c r="E35" s="246" t="s">
        <v>2049</v>
      </c>
      <c r="F35" s="246" t="s">
        <v>2050</v>
      </c>
      <c r="G35" s="246" t="s">
        <v>2032</v>
      </c>
      <c r="H35" s="290"/>
      <c r="I35" s="317" t="s">
        <v>682</v>
      </c>
      <c r="J35" s="1692" t="s">
        <v>2051</v>
      </c>
      <c r="K35" s="697" t="s">
        <v>1995</v>
      </c>
      <c r="L35" s="482" t="s">
        <v>879</v>
      </c>
      <c r="M35" s="1683"/>
      <c r="N35" s="1684"/>
      <c r="O35" s="1684"/>
      <c r="P35" s="1684"/>
      <c r="Q35" s="1684"/>
      <c r="R35" s="1684"/>
      <c r="S35" s="1684"/>
      <c r="T35" s="1684"/>
      <c r="U35" s="1684"/>
      <c r="V35" s="1684"/>
      <c r="W35" s="1684"/>
      <c r="X35" s="1684"/>
      <c r="Y35" s="1684"/>
      <c r="Z35" s="1684"/>
      <c r="AA35" s="1684"/>
      <c r="AB35" s="1684"/>
      <c r="AC35" s="1685"/>
      <c r="AD35" s="818">
        <v>45808</v>
      </c>
    </row>
    <row r="36" spans="1:34" ht="30" customHeight="1" x14ac:dyDescent="0.2">
      <c r="A36" s="872"/>
      <c r="B36" s="246"/>
      <c r="C36" s="246" t="s">
        <v>2048</v>
      </c>
      <c r="D36" s="246" t="s">
        <v>2020</v>
      </c>
      <c r="E36" s="246" t="s">
        <v>2049</v>
      </c>
      <c r="F36" s="246" t="s">
        <v>2052</v>
      </c>
      <c r="G36" s="246" t="s">
        <v>2032</v>
      </c>
      <c r="H36" s="278"/>
      <c r="I36" s="317" t="s">
        <v>682</v>
      </c>
      <c r="J36" s="1694"/>
      <c r="K36" s="697" t="s">
        <v>1995</v>
      </c>
      <c r="L36" s="482" t="s">
        <v>879</v>
      </c>
      <c r="M36" s="1700"/>
      <c r="N36" s="1701"/>
      <c r="O36" s="1701"/>
      <c r="P36" s="1701"/>
      <c r="Q36" s="1701"/>
      <c r="R36" s="1701"/>
      <c r="S36" s="1701"/>
      <c r="T36" s="1701"/>
      <c r="U36" s="1701"/>
      <c r="V36" s="1701"/>
      <c r="W36" s="1701"/>
      <c r="X36" s="1701"/>
      <c r="Y36" s="1701"/>
      <c r="Z36" s="1701"/>
      <c r="AA36" s="1701"/>
      <c r="AB36" s="1701"/>
      <c r="AC36" s="1775"/>
      <c r="AD36" s="818"/>
    </row>
    <row r="37" spans="1:34" ht="30" customHeight="1" x14ac:dyDescent="0.2">
      <c r="A37" s="872"/>
      <c r="B37" s="246" t="s">
        <v>2053</v>
      </c>
      <c r="C37" s="864" t="s">
        <v>2054</v>
      </c>
      <c r="D37" s="246" t="s">
        <v>2020</v>
      </c>
      <c r="E37" s="246" t="s">
        <v>2049</v>
      </c>
      <c r="F37" s="246" t="s">
        <v>2055</v>
      </c>
      <c r="G37" s="246" t="s">
        <v>2056</v>
      </c>
      <c r="H37" s="278"/>
      <c r="I37" s="317" t="s">
        <v>682</v>
      </c>
      <c r="J37" s="1694"/>
      <c r="K37" s="698" t="s">
        <v>38</v>
      </c>
      <c r="L37" s="996">
        <v>46202</v>
      </c>
      <c r="M37" s="1700" t="s">
        <v>78</v>
      </c>
      <c r="N37" s="1701"/>
      <c r="O37" s="1701"/>
      <c r="P37" s="1701"/>
      <c r="Q37" s="1701"/>
      <c r="R37" s="1701"/>
      <c r="S37" s="1701"/>
      <c r="T37" s="1701"/>
      <c r="U37" s="1701"/>
      <c r="V37" s="1701"/>
      <c r="W37" s="1701"/>
      <c r="X37" s="1701"/>
      <c r="Y37" s="1701"/>
      <c r="Z37" s="1701"/>
      <c r="AA37" s="1701"/>
      <c r="AB37" s="1701"/>
      <c r="AC37" s="1702"/>
      <c r="AD37" s="818">
        <v>45837</v>
      </c>
    </row>
    <row r="38" spans="1:34" ht="30" customHeight="1" x14ac:dyDescent="0.2">
      <c r="A38" s="872"/>
      <c r="B38" s="246"/>
      <c r="C38" s="246" t="s">
        <v>2057</v>
      </c>
      <c r="D38" s="246" t="s">
        <v>2020</v>
      </c>
      <c r="E38" s="246" t="s">
        <v>2058</v>
      </c>
      <c r="F38" s="246" t="s">
        <v>2059</v>
      </c>
      <c r="G38" s="246" t="s">
        <v>2060</v>
      </c>
      <c r="H38" s="278"/>
      <c r="I38" s="317" t="s">
        <v>682</v>
      </c>
      <c r="J38" s="1694"/>
      <c r="K38" s="698" t="s">
        <v>1995</v>
      </c>
      <c r="L38" s="482" t="s">
        <v>879</v>
      </c>
      <c r="M38" s="1703"/>
      <c r="N38" s="1704"/>
      <c r="O38" s="1704"/>
      <c r="P38" s="1704"/>
      <c r="Q38" s="1704"/>
      <c r="R38" s="1704"/>
      <c r="S38" s="1704"/>
      <c r="T38" s="1704"/>
      <c r="U38" s="1704"/>
      <c r="V38" s="1704"/>
      <c r="W38" s="1704"/>
      <c r="X38" s="1704"/>
      <c r="Y38" s="1704"/>
      <c r="Z38" s="1704"/>
      <c r="AA38" s="1704"/>
      <c r="AB38" s="1704"/>
      <c r="AC38" s="1705"/>
      <c r="AD38" s="818">
        <v>45971</v>
      </c>
    </row>
    <row r="39" spans="1:34" ht="30" customHeight="1" x14ac:dyDescent="0.2">
      <c r="A39" s="872"/>
      <c r="B39" s="246"/>
      <c r="C39" s="246" t="s">
        <v>2057</v>
      </c>
      <c r="D39" s="246" t="s">
        <v>2020</v>
      </c>
      <c r="E39" s="246" t="s">
        <v>2058</v>
      </c>
      <c r="F39" s="246" t="s">
        <v>2061</v>
      </c>
      <c r="G39" s="246" t="s">
        <v>2062</v>
      </c>
      <c r="H39" s="278"/>
      <c r="I39" s="752" t="s">
        <v>682</v>
      </c>
      <c r="J39" s="1694"/>
      <c r="K39" s="698" t="s">
        <v>1995</v>
      </c>
      <c r="L39" s="482" t="s">
        <v>879</v>
      </c>
      <c r="M39" s="1683"/>
      <c r="N39" s="1684"/>
      <c r="O39" s="1684"/>
      <c r="P39" s="1684"/>
      <c r="Q39" s="1684"/>
      <c r="R39" s="1684"/>
      <c r="S39" s="1684"/>
      <c r="T39" s="1684"/>
      <c r="U39" s="1684"/>
      <c r="V39" s="1684"/>
      <c r="W39" s="1684"/>
      <c r="X39" s="1684"/>
      <c r="Y39" s="1684"/>
      <c r="Z39" s="1684"/>
      <c r="AA39" s="1684"/>
      <c r="AB39" s="1684"/>
      <c r="AC39" s="1685"/>
      <c r="AD39" s="818"/>
    </row>
    <row r="40" spans="1:34" ht="30" customHeight="1" x14ac:dyDescent="0.2">
      <c r="A40" s="872"/>
      <c r="B40" s="246" t="s">
        <v>2053</v>
      </c>
      <c r="C40" s="864" t="s">
        <v>2063</v>
      </c>
      <c r="D40" s="246" t="s">
        <v>2020</v>
      </c>
      <c r="E40" s="246" t="s">
        <v>2058</v>
      </c>
      <c r="F40" s="246" t="s">
        <v>2064</v>
      </c>
      <c r="G40" s="246" t="s">
        <v>2056</v>
      </c>
      <c r="H40" s="278"/>
      <c r="I40" s="752" t="s">
        <v>682</v>
      </c>
      <c r="J40" s="1695"/>
      <c r="K40" s="871"/>
      <c r="L40" s="996">
        <v>46202</v>
      </c>
      <c r="M40" s="1686" t="s">
        <v>78</v>
      </c>
      <c r="N40" s="1687"/>
      <c r="O40" s="1687"/>
      <c r="P40" s="1687"/>
      <c r="Q40" s="1687"/>
      <c r="R40" s="1687"/>
      <c r="S40" s="1687"/>
      <c r="T40" s="1687"/>
      <c r="U40" s="1687"/>
      <c r="V40" s="1687"/>
      <c r="W40" s="1687"/>
      <c r="X40" s="1687"/>
      <c r="Y40" s="1687"/>
      <c r="Z40" s="1687"/>
      <c r="AA40" s="1687"/>
      <c r="AB40" s="1687"/>
      <c r="AC40" s="1688"/>
      <c r="AD40" s="818" t="s">
        <v>53</v>
      </c>
    </row>
    <row r="41" spans="1:34" ht="30" customHeight="1" x14ac:dyDescent="0.2">
      <c r="A41" s="872"/>
      <c r="B41" s="875"/>
      <c r="C41" s="874"/>
      <c r="D41" s="875"/>
      <c r="E41" s="875"/>
      <c r="F41" s="875"/>
      <c r="G41" s="875"/>
      <c r="H41" s="877"/>
      <c r="I41" s="876"/>
      <c r="J41" s="877"/>
      <c r="K41" s="698" t="s">
        <v>38</v>
      </c>
      <c r="L41" s="482"/>
      <c r="M41" s="911"/>
      <c r="N41" s="911"/>
      <c r="O41" s="911"/>
      <c r="P41" s="911"/>
      <c r="Q41" s="911"/>
      <c r="R41" s="911"/>
      <c r="S41" s="911"/>
      <c r="T41" s="911"/>
      <c r="U41" s="911"/>
      <c r="V41" s="911"/>
      <c r="W41" s="911"/>
      <c r="X41" s="911"/>
      <c r="Y41" s="911"/>
      <c r="Z41" s="911"/>
      <c r="AA41" s="911"/>
      <c r="AB41" s="911"/>
      <c r="AC41" s="879"/>
      <c r="AD41" s="818">
        <v>45659</v>
      </c>
    </row>
    <row r="42" spans="1:34" ht="30" customHeight="1" x14ac:dyDescent="0.2">
      <c r="A42" s="872"/>
      <c r="B42" s="712"/>
      <c r="C42" s="712" t="s">
        <v>2065</v>
      </c>
      <c r="D42" s="712" t="s">
        <v>2020</v>
      </c>
      <c r="E42" s="712" t="s">
        <v>2066</v>
      </c>
      <c r="F42" s="712" t="s">
        <v>2067</v>
      </c>
      <c r="G42" s="712" t="s">
        <v>2032</v>
      </c>
      <c r="H42" s="715"/>
      <c r="I42" s="714" t="s">
        <v>682</v>
      </c>
      <c r="J42" s="1696" t="s">
        <v>2068</v>
      </c>
      <c r="K42" s="698" t="s">
        <v>1995</v>
      </c>
      <c r="L42" s="713" t="s">
        <v>879</v>
      </c>
      <c r="M42" s="1767"/>
      <c r="N42" s="1768"/>
      <c r="O42" s="1768"/>
      <c r="P42" s="1768"/>
      <c r="Q42" s="1768"/>
      <c r="R42" s="1768"/>
      <c r="S42" s="1768"/>
      <c r="T42" s="1768"/>
      <c r="U42" s="1768"/>
      <c r="V42" s="1768"/>
      <c r="W42" s="1768"/>
      <c r="X42" s="1768"/>
      <c r="Y42" s="1768"/>
      <c r="Z42" s="1768"/>
      <c r="AA42" s="1768"/>
      <c r="AB42" s="1768"/>
      <c r="AC42" s="1769"/>
      <c r="AD42" s="818" t="s">
        <v>2069</v>
      </c>
    </row>
    <row r="43" spans="1:34" ht="30" customHeight="1" x14ac:dyDescent="0.2">
      <c r="A43" s="872"/>
      <c r="B43" s="246"/>
      <c r="C43" s="246" t="s">
        <v>2070</v>
      </c>
      <c r="D43" s="246" t="s">
        <v>2020</v>
      </c>
      <c r="E43" s="246" t="s">
        <v>2071</v>
      </c>
      <c r="F43" s="246" t="s">
        <v>2072</v>
      </c>
      <c r="G43" s="712" t="s">
        <v>2032</v>
      </c>
      <c r="H43" s="290"/>
      <c r="I43" s="459" t="s">
        <v>688</v>
      </c>
      <c r="J43" s="1696"/>
      <c r="K43" s="697" t="s">
        <v>1995</v>
      </c>
      <c r="L43" s="482" t="s">
        <v>879</v>
      </c>
      <c r="M43" s="1770" t="s">
        <v>2073</v>
      </c>
      <c r="N43" s="1771"/>
      <c r="O43" s="1771"/>
      <c r="P43" s="1771"/>
      <c r="Q43" s="1771"/>
      <c r="R43" s="1771"/>
      <c r="S43" s="1771"/>
      <c r="T43" s="1771"/>
      <c r="U43" s="1771"/>
      <c r="V43" s="1771"/>
      <c r="W43" s="1771"/>
      <c r="X43" s="1771"/>
      <c r="Y43" s="1771"/>
      <c r="Z43" s="1771"/>
      <c r="AA43" s="1771"/>
      <c r="AB43" s="1771"/>
      <c r="AC43" s="1772"/>
      <c r="AD43" s="818">
        <v>45837</v>
      </c>
    </row>
    <row r="44" spans="1:34" ht="30" customHeight="1" x14ac:dyDescent="0.2">
      <c r="A44" s="872"/>
      <c r="B44" s="263"/>
      <c r="C44" s="474" t="s">
        <v>2070</v>
      </c>
      <c r="D44" s="246" t="s">
        <v>2020</v>
      </c>
      <c r="E44" s="263" t="s">
        <v>2071</v>
      </c>
      <c r="F44" s="269">
        <v>27619</v>
      </c>
      <c r="G44" s="712" t="s">
        <v>2032</v>
      </c>
      <c r="H44" s="433"/>
      <c r="I44" s="317" t="s">
        <v>688</v>
      </c>
      <c r="J44" s="1696"/>
      <c r="K44" s="697" t="s">
        <v>1995</v>
      </c>
      <c r="L44" s="483" t="s">
        <v>879</v>
      </c>
      <c r="AD44" s="818" t="s">
        <v>2074</v>
      </c>
    </row>
    <row r="45" spans="1:34" ht="30" customHeight="1" x14ac:dyDescent="0.2">
      <c r="A45" s="872"/>
      <c r="B45" s="263"/>
      <c r="C45" s="474" t="s">
        <v>2070</v>
      </c>
      <c r="D45" s="246" t="s">
        <v>2020</v>
      </c>
      <c r="E45" s="263" t="s">
        <v>2071</v>
      </c>
      <c r="F45" s="269">
        <v>27620</v>
      </c>
      <c r="G45" s="712" t="s">
        <v>2032</v>
      </c>
      <c r="H45" s="433"/>
      <c r="I45" s="317" t="s">
        <v>682</v>
      </c>
      <c r="J45" s="1693"/>
      <c r="K45" s="871"/>
      <c r="L45" s="483" t="s">
        <v>879</v>
      </c>
      <c r="M45" s="1773"/>
      <c r="N45" s="1774"/>
      <c r="O45" s="1774"/>
      <c r="P45" s="1774"/>
      <c r="Q45" s="1774"/>
      <c r="R45" s="1774"/>
      <c r="S45" s="1774"/>
      <c r="T45" s="1774"/>
      <c r="U45" s="1774"/>
      <c r="V45" s="1774"/>
      <c r="W45" s="1774"/>
      <c r="X45" s="1774"/>
      <c r="Y45" s="1774"/>
      <c r="Z45" s="1774"/>
      <c r="AA45" s="1774"/>
      <c r="AB45" s="1774"/>
      <c r="AC45" s="1621"/>
      <c r="AD45" s="818" t="s">
        <v>53</v>
      </c>
    </row>
    <row r="46" spans="1:34" ht="30" customHeight="1" x14ac:dyDescent="0.2">
      <c r="A46" s="872"/>
      <c r="B46" s="875"/>
      <c r="C46" s="874"/>
      <c r="D46" s="875"/>
      <c r="E46" s="875"/>
      <c r="F46" s="875"/>
      <c r="G46" s="875"/>
      <c r="H46" s="877"/>
      <c r="I46" s="876"/>
      <c r="J46" s="877"/>
      <c r="K46" s="698" t="s">
        <v>1995</v>
      </c>
      <c r="L46" s="482"/>
      <c r="M46" s="912"/>
      <c r="N46" s="912"/>
      <c r="O46" s="912"/>
      <c r="P46" s="912"/>
      <c r="Q46" s="912"/>
      <c r="R46" s="912"/>
      <c r="S46" s="912"/>
      <c r="T46" s="912"/>
      <c r="U46" s="912"/>
      <c r="V46" s="912"/>
      <c r="W46" s="912"/>
      <c r="X46" s="912"/>
      <c r="Y46" s="912"/>
      <c r="Z46" s="912"/>
      <c r="AA46" s="912"/>
      <c r="AB46" s="912"/>
      <c r="AC46" s="878"/>
      <c r="AD46" s="818">
        <v>45759</v>
      </c>
    </row>
    <row r="47" spans="1:34" ht="30" customHeight="1" x14ac:dyDescent="0.2">
      <c r="A47" s="872"/>
      <c r="B47" s="246"/>
      <c r="C47" s="246" t="s">
        <v>2075</v>
      </c>
      <c r="D47" s="246" t="s">
        <v>2020</v>
      </c>
      <c r="E47" s="246" t="s">
        <v>2076</v>
      </c>
      <c r="F47" s="246" t="s">
        <v>2077</v>
      </c>
      <c r="G47" s="246" t="s">
        <v>2078</v>
      </c>
      <c r="H47" s="273"/>
      <c r="I47" s="317" t="s">
        <v>682</v>
      </c>
      <c r="J47" s="1697" t="s">
        <v>2079</v>
      </c>
      <c r="K47" s="697" t="s">
        <v>1995</v>
      </c>
      <c r="L47" s="482" t="s">
        <v>879</v>
      </c>
      <c r="M47" s="1658"/>
      <c r="N47" s="1658"/>
      <c r="O47" s="1658"/>
      <c r="P47" s="1658"/>
      <c r="Q47" s="1658"/>
      <c r="R47" s="1658"/>
      <c r="S47" s="1658"/>
      <c r="T47" s="1658"/>
      <c r="U47" s="1658"/>
      <c r="V47" s="1658"/>
      <c r="W47" s="1658"/>
      <c r="X47" s="1658"/>
      <c r="Y47" s="1658"/>
      <c r="Z47" s="1658"/>
      <c r="AA47" s="1658"/>
      <c r="AB47" s="1658"/>
      <c r="AC47" s="1658"/>
      <c r="AD47" s="818"/>
    </row>
    <row r="48" spans="1:34" ht="30" customHeight="1" x14ac:dyDescent="0.2">
      <c r="A48" s="872"/>
      <c r="B48" s="304"/>
      <c r="C48" s="304" t="s">
        <v>2080</v>
      </c>
      <c r="D48" s="304" t="s">
        <v>2081</v>
      </c>
      <c r="E48" s="304" t="s">
        <v>2082</v>
      </c>
      <c r="F48" s="304" t="s">
        <v>2083</v>
      </c>
      <c r="G48" s="304" t="s">
        <v>2062</v>
      </c>
      <c r="H48" s="278"/>
      <c r="I48" s="317" t="s">
        <v>682</v>
      </c>
      <c r="J48" s="1698"/>
      <c r="K48" s="697" t="s">
        <v>1995</v>
      </c>
      <c r="L48" s="482" t="s">
        <v>879</v>
      </c>
      <c r="M48" s="1700" t="s">
        <v>2084</v>
      </c>
      <c r="N48" s="1701"/>
      <c r="O48" s="1701"/>
      <c r="P48" s="1701"/>
      <c r="Q48" s="1701"/>
      <c r="R48" s="1701"/>
      <c r="S48" s="1701"/>
      <c r="T48" s="1701"/>
      <c r="U48" s="1701"/>
      <c r="V48" s="1701"/>
      <c r="W48" s="1701"/>
      <c r="X48" s="1701"/>
      <c r="Y48" s="1701"/>
      <c r="Z48" s="1701"/>
      <c r="AA48" s="1701"/>
      <c r="AB48" s="1701"/>
      <c r="AC48" s="1763"/>
      <c r="AD48" s="818">
        <v>46178</v>
      </c>
    </row>
    <row r="49" spans="1:32" ht="30" customHeight="1" x14ac:dyDescent="0.2">
      <c r="A49" s="872"/>
      <c r="B49" s="304"/>
      <c r="C49" s="304" t="s">
        <v>2085</v>
      </c>
      <c r="D49" s="304" t="s">
        <v>2081</v>
      </c>
      <c r="E49" s="304" t="s">
        <v>2086</v>
      </c>
      <c r="F49" s="304" t="s">
        <v>2087</v>
      </c>
      <c r="G49" s="304" t="s">
        <v>2088</v>
      </c>
      <c r="H49" s="278"/>
      <c r="I49" s="317" t="s">
        <v>682</v>
      </c>
      <c r="J49" s="1698"/>
      <c r="K49" s="697" t="s">
        <v>1995</v>
      </c>
      <c r="L49" s="481" t="s">
        <v>879</v>
      </c>
      <c r="M49" s="1683"/>
      <c r="N49" s="1684"/>
      <c r="O49" s="1684"/>
      <c r="P49" s="1684"/>
      <c r="Q49" s="1684"/>
      <c r="R49" s="1684"/>
      <c r="S49" s="1684"/>
      <c r="T49" s="1684"/>
      <c r="U49" s="1684"/>
      <c r="V49" s="1684"/>
      <c r="W49" s="1684"/>
      <c r="X49" s="1684"/>
      <c r="Y49" s="1684"/>
      <c r="Z49" s="1684"/>
      <c r="AA49" s="1684"/>
      <c r="AB49" s="1684"/>
      <c r="AC49" s="1759"/>
      <c r="AD49" s="818">
        <v>46111</v>
      </c>
    </row>
    <row r="50" spans="1:32" ht="30" customHeight="1" x14ac:dyDescent="0.2">
      <c r="A50" s="872"/>
      <c r="B50" s="246"/>
      <c r="C50" s="246" t="s">
        <v>879</v>
      </c>
      <c r="D50" s="246" t="s">
        <v>2089</v>
      </c>
      <c r="E50" s="246" t="s">
        <v>2090</v>
      </c>
      <c r="F50" s="246" t="s">
        <v>2091</v>
      </c>
      <c r="G50" s="246" t="s">
        <v>879</v>
      </c>
      <c r="H50" s="272"/>
      <c r="I50" s="317" t="s">
        <v>682</v>
      </c>
      <c r="J50" s="1698"/>
      <c r="K50" s="697" t="s">
        <v>1995</v>
      </c>
      <c r="L50" s="481" t="s">
        <v>879</v>
      </c>
      <c r="M50" s="1764"/>
      <c r="N50" s="1765"/>
      <c r="O50" s="1765"/>
      <c r="P50" s="1765"/>
      <c r="Q50" s="1765"/>
      <c r="R50" s="1765"/>
      <c r="S50" s="1765"/>
      <c r="T50" s="1765"/>
      <c r="U50" s="1765"/>
      <c r="V50" s="1765"/>
      <c r="W50" s="1765"/>
      <c r="X50" s="1765"/>
      <c r="Y50" s="1765"/>
      <c r="Z50" s="1765"/>
      <c r="AA50" s="1765"/>
      <c r="AB50" s="1765"/>
      <c r="AC50" s="1766"/>
      <c r="AD50" s="818">
        <v>46164</v>
      </c>
    </row>
    <row r="51" spans="1:32" ht="30" customHeight="1" x14ac:dyDescent="0.2">
      <c r="A51" s="872"/>
      <c r="B51" s="246" t="s">
        <v>2092</v>
      </c>
      <c r="C51" s="246" t="s">
        <v>879</v>
      </c>
      <c r="D51" s="246" t="s">
        <v>2093</v>
      </c>
      <c r="E51" s="246" t="s">
        <v>2094</v>
      </c>
      <c r="F51" s="246" t="s">
        <v>2095</v>
      </c>
      <c r="G51" s="246" t="s">
        <v>879</v>
      </c>
      <c r="H51" s="272"/>
      <c r="I51" s="317" t="s">
        <v>682</v>
      </c>
      <c r="J51" s="1698"/>
      <c r="K51" s="697" t="s">
        <v>1995</v>
      </c>
      <c r="L51" s="481" t="s">
        <v>879</v>
      </c>
      <c r="M51" s="1683"/>
      <c r="N51" s="1684"/>
      <c r="O51" s="1684"/>
      <c r="P51" s="1684"/>
      <c r="Q51" s="1684"/>
      <c r="R51" s="1684"/>
      <c r="S51" s="1684"/>
      <c r="T51" s="1684"/>
      <c r="U51" s="1684"/>
      <c r="V51" s="1684"/>
      <c r="W51" s="1684"/>
      <c r="X51" s="1684"/>
      <c r="Y51" s="1684"/>
      <c r="Z51" s="1684"/>
      <c r="AA51" s="1684"/>
      <c r="AB51" s="1684"/>
      <c r="AC51" s="1759"/>
      <c r="AD51" s="818">
        <v>46091</v>
      </c>
    </row>
    <row r="52" spans="1:32" ht="30" customHeight="1" x14ac:dyDescent="0.2">
      <c r="A52" s="872"/>
      <c r="B52" s="474" t="s">
        <v>2096</v>
      </c>
      <c r="C52" s="313" t="s">
        <v>2097</v>
      </c>
      <c r="D52" s="313" t="s">
        <v>1953</v>
      </c>
      <c r="E52" s="751" t="s">
        <v>2098</v>
      </c>
      <c r="F52" s="313" t="s">
        <v>2099</v>
      </c>
      <c r="G52" s="246" t="s">
        <v>879</v>
      </c>
      <c r="H52" s="30"/>
      <c r="I52" s="317" t="s">
        <v>682</v>
      </c>
      <c r="J52" s="1699"/>
      <c r="K52" s="887"/>
      <c r="L52" s="483" t="s">
        <v>879</v>
      </c>
      <c r="M52" s="1683"/>
      <c r="N52" s="1684"/>
      <c r="O52" s="1684"/>
      <c r="P52" s="1684"/>
      <c r="Q52" s="1684"/>
      <c r="R52" s="1684"/>
      <c r="S52" s="1684"/>
      <c r="T52" s="1684"/>
      <c r="U52" s="1684"/>
      <c r="V52" s="1684"/>
      <c r="W52" s="1684"/>
      <c r="X52" s="1684"/>
      <c r="Y52" s="1684"/>
      <c r="Z52" s="1684"/>
      <c r="AA52" s="1684"/>
      <c r="AB52" s="1684"/>
      <c r="AC52" s="1759"/>
      <c r="AD52" s="1020">
        <v>46752</v>
      </c>
      <c r="AE52" s="195"/>
    </row>
    <row r="53" spans="1:32" ht="30" customHeight="1" x14ac:dyDescent="0.2">
      <c r="B53" s="885"/>
      <c r="C53" s="885"/>
      <c r="D53" s="885"/>
      <c r="E53" s="885"/>
      <c r="F53" s="886"/>
      <c r="G53" s="886"/>
      <c r="H53" s="872"/>
      <c r="I53" s="872"/>
      <c r="J53" s="872"/>
      <c r="L53" s="888"/>
      <c r="M53" s="910"/>
      <c r="N53" s="910"/>
      <c r="O53" s="910"/>
      <c r="P53" s="910"/>
      <c r="Q53" s="910"/>
      <c r="R53" s="910"/>
      <c r="S53" s="910"/>
      <c r="T53" s="910"/>
      <c r="U53" s="910"/>
      <c r="V53" s="910"/>
      <c r="W53" s="910"/>
      <c r="X53" s="910"/>
      <c r="Y53" s="910"/>
      <c r="Z53" s="910"/>
      <c r="AA53" s="910"/>
      <c r="AB53" s="910"/>
      <c r="AC53" s="887"/>
    </row>
    <row r="54" spans="1:32" x14ac:dyDescent="0.2">
      <c r="K54" s="2"/>
    </row>
    <row r="55" spans="1:32" ht="12.75" customHeight="1" x14ac:dyDescent="0.2">
      <c r="B55"/>
      <c r="E55"/>
      <c r="F55" s="2"/>
      <c r="G55" s="2"/>
      <c r="H55" s="2"/>
      <c r="I55" s="2"/>
      <c r="J55" s="2"/>
      <c r="K55" s="2"/>
      <c r="L55"/>
      <c r="AC55"/>
      <c r="AF55" s="140"/>
    </row>
    <row r="56" spans="1:32" ht="12.75" customHeight="1" x14ac:dyDescent="0.2">
      <c r="B56" s="303"/>
      <c r="E56" s="303" t="s">
        <v>2100</v>
      </c>
      <c r="F56" s="1678" t="s">
        <v>2101</v>
      </c>
      <c r="G56" s="1679"/>
      <c r="H56" s="1679"/>
      <c r="I56" s="1680"/>
      <c r="J56" s="705"/>
      <c r="K56" s="2"/>
      <c r="L56"/>
      <c r="AC56"/>
      <c r="AF56" s="140"/>
    </row>
    <row r="57" spans="1:32" ht="12.75" customHeight="1" x14ac:dyDescent="0.2">
      <c r="B57" s="95"/>
      <c r="E57" s="95" t="s">
        <v>2102</v>
      </c>
      <c r="F57" s="1689">
        <v>27</v>
      </c>
      <c r="G57" s="1690"/>
      <c r="H57" s="1690"/>
      <c r="I57" s="1691"/>
      <c r="J57" s="706"/>
      <c r="K57" s="2"/>
      <c r="L57"/>
      <c r="AC57"/>
    </row>
    <row r="58" spans="1:32" ht="12.75" customHeight="1" x14ac:dyDescent="0.2">
      <c r="B58" s="704"/>
      <c r="E58" s="96"/>
      <c r="F58" s="115"/>
      <c r="G58" s="1024"/>
      <c r="H58" s="707"/>
      <c r="I58" s="116"/>
      <c r="J58" s="707"/>
      <c r="K58" s="2"/>
      <c r="L58"/>
      <c r="AC58"/>
    </row>
    <row r="59" spans="1:32" ht="12.75" customHeight="1" x14ac:dyDescent="0.2">
      <c r="B59" s="95"/>
      <c r="E59" s="95" t="s">
        <v>491</v>
      </c>
      <c r="F59" s="1689">
        <v>22</v>
      </c>
      <c r="G59" s="1690"/>
      <c r="H59" s="1690"/>
      <c r="I59" s="1691"/>
      <c r="J59" s="706"/>
      <c r="K59" s="2"/>
      <c r="L59"/>
      <c r="AC59"/>
    </row>
    <row r="60" spans="1:32" ht="12.75" customHeight="1" x14ac:dyDescent="0.2">
      <c r="B60" s="264"/>
      <c r="E60" s="264" t="s">
        <v>2103</v>
      </c>
      <c r="F60" s="1675">
        <v>12</v>
      </c>
      <c r="G60" s="1676"/>
      <c r="H60" s="1676"/>
      <c r="I60" s="1677"/>
      <c r="J60" s="708"/>
      <c r="K60" s="2"/>
      <c r="L60"/>
      <c r="AC60"/>
    </row>
    <row r="61" spans="1:32" ht="12.75" customHeight="1" x14ac:dyDescent="0.2">
      <c r="B61" s="264"/>
      <c r="E61" s="264" t="s">
        <v>2104</v>
      </c>
      <c r="F61" s="1675">
        <f>COUNTIF(I25:I50,"DEPLOYED")</f>
        <v>0</v>
      </c>
      <c r="G61" s="1676"/>
      <c r="H61" s="1676"/>
      <c r="I61" s="1677"/>
      <c r="J61" s="708"/>
      <c r="K61" s="2"/>
      <c r="L61"/>
      <c r="AC61"/>
    </row>
    <row r="62" spans="1:32" ht="12.75" customHeight="1" x14ac:dyDescent="0.2">
      <c r="B62" s="264"/>
      <c r="E62" s="264" t="s">
        <v>2105</v>
      </c>
      <c r="F62" s="1675">
        <v>2</v>
      </c>
      <c r="G62" s="1676"/>
      <c r="H62" s="1676"/>
      <c r="I62" s="1677"/>
      <c r="J62" s="708"/>
      <c r="L62"/>
      <c r="AC62"/>
    </row>
    <row r="63" spans="1:32" x14ac:dyDescent="0.2">
      <c r="B63" s="96"/>
      <c r="E63" s="96"/>
      <c r="F63" s="97"/>
      <c r="G63" s="1025"/>
      <c r="H63" s="707"/>
      <c r="I63" s="117"/>
      <c r="J63" s="707"/>
    </row>
    <row r="69" spans="13:28" ht="9" customHeight="1" x14ac:dyDescent="0.2"/>
    <row r="70" spans="13:28" hidden="1" x14ac:dyDescent="0.2"/>
    <row r="71" spans="13:28" hidden="1" x14ac:dyDescent="0.2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3:28" x14ac:dyDescent="0.2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</sheetData>
  <sheetProtection insertRows="0"/>
  <mergeCells count="67">
    <mergeCell ref="M52:AC52"/>
    <mergeCell ref="M15:AC15"/>
    <mergeCell ref="M48:AC48"/>
    <mergeCell ref="M49:AC49"/>
    <mergeCell ref="M50:AC50"/>
    <mergeCell ref="M51:AC51"/>
    <mergeCell ref="M42:AC42"/>
    <mergeCell ref="M43:AC43"/>
    <mergeCell ref="M35:AC35"/>
    <mergeCell ref="M45:AC45"/>
    <mergeCell ref="M47:AC47"/>
    <mergeCell ref="M36:AC36"/>
    <mergeCell ref="M30:AC30"/>
    <mergeCell ref="M31:AC31"/>
    <mergeCell ref="M32:AC32"/>
    <mergeCell ref="M34:AC34"/>
    <mergeCell ref="M18:AC18"/>
    <mergeCell ref="M24:AC24"/>
    <mergeCell ref="AN1:AO1"/>
    <mergeCell ref="AK1:AL1"/>
    <mergeCell ref="AK3:AL3"/>
    <mergeCell ref="M19:AC19"/>
    <mergeCell ref="AD1:AI1"/>
    <mergeCell ref="M17:AC17"/>
    <mergeCell ref="M20:AC20"/>
    <mergeCell ref="M26:AC26"/>
    <mergeCell ref="M25:AC25"/>
    <mergeCell ref="M23:AC23"/>
    <mergeCell ref="M22:AC22"/>
    <mergeCell ref="M21:AC21"/>
    <mergeCell ref="M33:AC33"/>
    <mergeCell ref="D2:E2"/>
    <mergeCell ref="D6:E6"/>
    <mergeCell ref="D3:E3"/>
    <mergeCell ref="AD2:AI12"/>
    <mergeCell ref="K2:L2"/>
    <mergeCell ref="K3:L3"/>
    <mergeCell ref="K4:L4"/>
    <mergeCell ref="K5:L5"/>
    <mergeCell ref="K6:L6"/>
    <mergeCell ref="K7:L7"/>
    <mergeCell ref="K8:L8"/>
    <mergeCell ref="D12:E12"/>
    <mergeCell ref="D8:E8"/>
    <mergeCell ref="D9:E9"/>
    <mergeCell ref="J17:J26"/>
    <mergeCell ref="F62:I62"/>
    <mergeCell ref="F56:I56"/>
    <mergeCell ref="M27:AC27"/>
    <mergeCell ref="M39:AC39"/>
    <mergeCell ref="M40:AC40"/>
    <mergeCell ref="F60:I60"/>
    <mergeCell ref="F59:I59"/>
    <mergeCell ref="F57:I57"/>
    <mergeCell ref="F61:I61"/>
    <mergeCell ref="J32:J33"/>
    <mergeCell ref="J35:J40"/>
    <mergeCell ref="J42:J45"/>
    <mergeCell ref="J47:J52"/>
    <mergeCell ref="M37:AC37"/>
    <mergeCell ref="M38:AC38"/>
    <mergeCell ref="M29:AC29"/>
    <mergeCell ref="D5:E5"/>
    <mergeCell ref="D4:E4"/>
    <mergeCell ref="D7:E7"/>
    <mergeCell ref="D10:E10"/>
    <mergeCell ref="B14:AD14"/>
  </mergeCells>
  <phoneticPr fontId="5" type="noConversion"/>
  <conditionalFormatting sqref="L29:L52 L17:L27">
    <cfRule type="expression" dxfId="107" priority="247" stopIfTrue="1">
      <formula>$L17&lt;=TODAY()</formula>
    </cfRule>
    <cfRule type="expression" dxfId="106" priority="248" stopIfTrue="1">
      <formula>AND(L17&gt;=TODAY()+1, L17&lt;=TODAY()+30)</formula>
    </cfRule>
    <cfRule type="expression" dxfId="105" priority="249" stopIfTrue="1">
      <formula>$L17&gt;TODAY()+30</formula>
    </cfRule>
  </conditionalFormatting>
  <conditionalFormatting sqref="I17:I52">
    <cfRule type="cellIs" dxfId="104" priority="21" stopIfTrue="1" operator="equal">
      <formula>"Ready"</formula>
    </cfRule>
    <cfRule type="cellIs" dxfId="103" priority="22" stopIfTrue="1" operator="equal">
      <formula>"INSPECTION"</formula>
    </cfRule>
    <cfRule type="cellIs" dxfId="102" priority="23" stopIfTrue="1" operator="equal">
      <formula>"DEPLOYED"</formula>
    </cfRule>
    <cfRule type="cellIs" dxfId="101" priority="24" stopIfTrue="1" operator="equal">
      <formula>"U/S"</formula>
    </cfRule>
    <cfRule type="cellIs" dxfId="100" priority="25" stopIfTrue="1" operator="equal">
      <formula>"S"</formula>
    </cfRule>
  </conditionalFormatting>
  <conditionalFormatting sqref="AD29:AD32 AD34:AD51 AD17:AD27">
    <cfRule type="cellIs" dxfId="99" priority="11" stopIfTrue="1" operator="equal">
      <formula>"TBD"</formula>
    </cfRule>
    <cfRule type="cellIs" dxfId="98" priority="12" stopIfTrue="1" operator="equal">
      <formula>"?"</formula>
    </cfRule>
    <cfRule type="expression" dxfId="97" priority="13" stopIfTrue="1">
      <formula>$AD17&lt;=TODAY()</formula>
    </cfRule>
    <cfRule type="expression" dxfId="96" priority="14" stopIfTrue="1">
      <formula>AND(AD17&gt;=TODAY()+1, AD17&lt;=TODAY()+30)</formula>
    </cfRule>
    <cfRule type="expression" dxfId="95" priority="15" stopIfTrue="1">
      <formula>$AD17&gt;TODAY()+30</formula>
    </cfRule>
  </conditionalFormatting>
  <conditionalFormatting sqref="AC28">
    <cfRule type="cellIs" dxfId="94" priority="286" stopIfTrue="1" operator="equal">
      <formula>"TBD"</formula>
    </cfRule>
    <cfRule type="cellIs" dxfId="93" priority="287" stopIfTrue="1" operator="equal">
      <formula>"?"</formula>
    </cfRule>
    <cfRule type="expression" dxfId="92" priority="288" stopIfTrue="1">
      <formula>$AC28&lt;=TODAY()</formula>
    </cfRule>
    <cfRule type="expression" dxfId="91" priority="289" stopIfTrue="1">
      <formula>AND(AC28&gt;=TODAY()+1, AC28&lt;=TODAY()+30)</formula>
    </cfRule>
    <cfRule type="expression" dxfId="90" priority="290" stopIfTrue="1">
      <formula>$AC28&gt;TODAY()+30</formula>
    </cfRule>
  </conditionalFormatting>
  <dataValidations xWindow="419" yWindow="663" count="1">
    <dataValidation type="list" showErrorMessage="1" errorTitle="Invalid Entry" error="Please only choose _x000a_S, U/S, DEPLOYED, and PAST INSP DUE" promptTitle="Current Item Condition " prompt="Please, Indicates current item's condition._x000a__x000a_S = Serviceable_x000a__x000a_U/S = UnServiceable/Damaged/under repair/replacement required_x000a__x000a_Deployed = HSC/RIP/HLTA/Temp Loan to remote locations_x000a__x000a_Maint = Item sent to inspection/repair facility  " sqref="I17:I52" xr:uid="{7A531A2C-A7FD-4755-BE6A-BF3C43203FE8}">
      <formula1>$AK$4:$AK$8</formula1>
    </dataValidation>
  </dataValidations>
  <pageMargins left="0.25" right="0.25" top="0.75" bottom="0.75" header="0.3" footer="0.3"/>
  <pageSetup paperSize="5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B1A0E-4F83-4DCC-A701-921EB7BB88CD}">
  <sheetPr codeName="Sheet14">
    <tabColor indexed="10"/>
    <pageSetUpPr autoPageBreaks="0"/>
  </sheetPr>
  <dimension ref="B2:L25"/>
  <sheetViews>
    <sheetView showGridLines="0" zoomScale="85" zoomScaleNormal="85" zoomScaleSheetLayoutView="100" workbookViewId="0">
      <selection activeCell="B3" sqref="B3:D3"/>
    </sheetView>
  </sheetViews>
  <sheetFormatPr defaultRowHeight="12.75" x14ac:dyDescent="0.2"/>
  <cols>
    <col min="1" max="1" width="2.85546875" customWidth="1"/>
    <col min="2" max="2" width="61.28515625" style="1" customWidth="1"/>
    <col min="3" max="3" width="15.28515625" style="3" bestFit="1" customWidth="1"/>
    <col min="4" max="4" width="15.85546875" style="1" customWidth="1"/>
    <col min="5" max="5" width="15.7109375" customWidth="1"/>
    <col min="6" max="7" width="17.85546875" customWidth="1"/>
    <col min="8" max="8" width="27.5703125" customWidth="1"/>
    <col min="9" max="9" width="10.5703125" hidden="1" customWidth="1"/>
    <col min="10" max="11" width="15.28515625" style="2" customWidth="1"/>
    <col min="12" max="12" width="15.28515625" bestFit="1" customWidth="1"/>
  </cols>
  <sheetData>
    <row r="2" spans="2:11" ht="13.5" thickBot="1" x14ac:dyDescent="0.25">
      <c r="B2" s="311"/>
      <c r="C2" s="311"/>
      <c r="D2" s="311"/>
      <c r="E2" s="311"/>
    </row>
    <row r="3" spans="2:11" ht="45" customHeight="1" thickBot="1" x14ac:dyDescent="0.25">
      <c r="B3" s="1786" t="s">
        <v>2106</v>
      </c>
      <c r="C3" s="1787"/>
      <c r="D3" s="1788"/>
      <c r="E3" s="274"/>
      <c r="F3" s="274"/>
      <c r="I3" s="2"/>
      <c r="K3"/>
    </row>
    <row r="4" spans="2:11" ht="27.75" customHeight="1" thickBot="1" x14ac:dyDescent="0.45">
      <c r="B4" s="671">
        <f ca="1">TODAY()</f>
        <v>46183</v>
      </c>
      <c r="C4" s="672" t="s">
        <v>656</v>
      </c>
      <c r="D4" s="673" t="s">
        <v>657</v>
      </c>
      <c r="H4" s="140"/>
      <c r="I4" s="2"/>
      <c r="K4"/>
    </row>
    <row r="5" spans="2:11" ht="45" customHeight="1" thickBot="1" x14ac:dyDescent="0.25">
      <c r="B5" s="675" t="s">
        <v>2107</v>
      </c>
      <c r="C5" s="676">
        <v>15</v>
      </c>
      <c r="D5" s="679">
        <v>12</v>
      </c>
      <c r="E5" s="1784"/>
      <c r="F5" s="1784"/>
      <c r="I5" s="2"/>
      <c r="K5"/>
    </row>
    <row r="6" spans="2:11" ht="45" customHeight="1" x14ac:dyDescent="0.2">
      <c r="B6" s="674" t="s">
        <v>10</v>
      </c>
      <c r="C6" s="669">
        <v>11</v>
      </c>
      <c r="D6" s="680">
        <v>8</v>
      </c>
      <c r="J6"/>
      <c r="K6"/>
    </row>
    <row r="7" spans="2:11" ht="12" customHeight="1" thickBot="1" x14ac:dyDescent="0.25">
      <c r="B7" s="670"/>
      <c r="C7" s="677"/>
      <c r="D7" s="681"/>
      <c r="J7"/>
      <c r="K7"/>
    </row>
    <row r="8" spans="2:11" ht="20.25" customHeight="1" thickBot="1" x14ac:dyDescent="0.25">
      <c r="B8" s="691" t="s">
        <v>2108</v>
      </c>
      <c r="C8" s="1361">
        <v>10</v>
      </c>
      <c r="D8" s="1017">
        <v>14</v>
      </c>
      <c r="E8" s="195"/>
      <c r="F8" s="195"/>
      <c r="J8"/>
      <c r="K8"/>
    </row>
    <row r="9" spans="2:11" ht="27.75" hidden="1" customHeight="1" x14ac:dyDescent="0.2">
      <c r="B9" s="691" t="s">
        <v>4</v>
      </c>
      <c r="C9" s="1362">
        <v>0</v>
      </c>
      <c r="D9" s="749">
        <v>0</v>
      </c>
      <c r="E9" s="195"/>
      <c r="F9" s="195"/>
      <c r="J9"/>
      <c r="K9"/>
    </row>
    <row r="10" spans="2:11" ht="45" customHeight="1" thickBot="1" x14ac:dyDescent="0.25">
      <c r="B10" s="686" t="s">
        <v>2109</v>
      </c>
      <c r="C10" s="1363">
        <v>10</v>
      </c>
      <c r="D10" s="1018">
        <v>14</v>
      </c>
      <c r="E10" s="1785"/>
      <c r="F10" s="1785"/>
      <c r="J10"/>
      <c r="K10"/>
    </row>
    <row r="11" spans="2:11" ht="12.75" customHeight="1" thickBot="1" x14ac:dyDescent="0.45">
      <c r="B11" s="309"/>
      <c r="C11" s="308"/>
      <c r="D11" s="682"/>
      <c r="E11" s="277"/>
      <c r="F11" s="277"/>
      <c r="J11"/>
      <c r="K11"/>
    </row>
    <row r="12" spans="2:11" ht="20.25" hidden="1" customHeight="1" x14ac:dyDescent="0.2">
      <c r="B12" s="692" t="s">
        <v>2110</v>
      </c>
      <c r="C12" s="684"/>
      <c r="D12" s="685">
        <v>0</v>
      </c>
      <c r="J12"/>
      <c r="K12"/>
    </row>
    <row r="13" spans="2:11" ht="20.25" hidden="1" customHeight="1" x14ac:dyDescent="0.2">
      <c r="B13" s="692" t="s">
        <v>2111</v>
      </c>
      <c r="C13" s="684" t="s">
        <v>2112</v>
      </c>
      <c r="D13" s="685" t="s">
        <v>2112</v>
      </c>
      <c r="J13"/>
      <c r="K13"/>
    </row>
    <row r="14" spans="2:11" ht="45" customHeight="1" thickBot="1" x14ac:dyDescent="0.25">
      <c r="B14" s="687" t="s">
        <v>2113</v>
      </c>
      <c r="C14" s="688">
        <v>0</v>
      </c>
      <c r="D14" s="689">
        <v>0</v>
      </c>
      <c r="J14"/>
      <c r="K14"/>
    </row>
    <row r="15" spans="2:11" ht="18" customHeight="1" x14ac:dyDescent="0.4">
      <c r="B15" s="309"/>
      <c r="C15" s="308"/>
      <c r="D15" s="682"/>
      <c r="J15"/>
      <c r="K15"/>
    </row>
    <row r="16" spans="2:11" ht="36.75" customHeight="1" x14ac:dyDescent="0.2">
      <c r="B16" s="310" t="s">
        <v>2114</v>
      </c>
      <c r="C16" s="678">
        <v>5</v>
      </c>
      <c r="D16" s="683">
        <v>0</v>
      </c>
      <c r="J16"/>
      <c r="K16"/>
    </row>
    <row r="17" spans="2:12" ht="16.5" customHeight="1" x14ac:dyDescent="0.2">
      <c r="B17"/>
      <c r="C17"/>
      <c r="D17"/>
      <c r="J17"/>
      <c r="K17"/>
    </row>
    <row r="18" spans="2:12" ht="16.5" customHeight="1" x14ac:dyDescent="0.2">
      <c r="B18"/>
      <c r="C18" s="2"/>
      <c r="D18" s="2"/>
      <c r="J18" s="1125"/>
      <c r="K18" s="1125"/>
      <c r="L18" s="1125"/>
    </row>
    <row r="19" spans="2:12" ht="16.5" customHeight="1" x14ac:dyDescent="0.2">
      <c r="B19"/>
      <c r="C19"/>
      <c r="D19"/>
      <c r="F19" s="2"/>
      <c r="G19" s="2"/>
      <c r="J19" s="1125"/>
      <c r="K19" s="1125" t="s">
        <v>2115</v>
      </c>
      <c r="L19" s="1126">
        <v>46161</v>
      </c>
    </row>
    <row r="20" spans="2:12" ht="17.25" customHeight="1" x14ac:dyDescent="0.2">
      <c r="B20"/>
      <c r="C20"/>
      <c r="D20"/>
      <c r="F20" s="2"/>
      <c r="G20" s="2"/>
      <c r="J20" s="1125"/>
      <c r="K20" s="1125"/>
      <c r="L20" s="1125"/>
    </row>
    <row r="21" spans="2:12" ht="17.25" customHeight="1" x14ac:dyDescent="0.2">
      <c r="B21"/>
      <c r="C21"/>
      <c r="D21"/>
      <c r="F21" s="2"/>
      <c r="G21" s="2"/>
      <c r="J21"/>
      <c r="K21"/>
    </row>
    <row r="23" spans="2:12" x14ac:dyDescent="0.2">
      <c r="B23" s="320"/>
    </row>
    <row r="25" spans="2:12" x14ac:dyDescent="0.2">
      <c r="L25" t="s">
        <v>2116</v>
      </c>
    </row>
  </sheetData>
  <sheetProtection insertRows="0"/>
  <mergeCells count="3">
    <mergeCell ref="E5:F5"/>
    <mergeCell ref="E10:F10"/>
    <mergeCell ref="B3:D3"/>
  </mergeCells>
  <conditionalFormatting sqref="D8 D10">
    <cfRule type="cellIs" dxfId="89" priority="14" stopIfTrue="1" operator="greaterThanOrEqual">
      <formula>8</formula>
    </cfRule>
    <cfRule type="cellIs" dxfId="88" priority="17" stopIfTrue="1" operator="lessThan">
      <formula>8</formula>
    </cfRule>
  </conditionalFormatting>
  <dataValidations count="1">
    <dataValidation type="list" allowBlank="1" showInputMessage="1" showErrorMessage="1" sqref="E10:F11" xr:uid="{8BD7E8A8-789F-4098-8AE3-E21C47BB9B66}">
      <formula1>$H$4</formula1>
    </dataValidation>
  </dataValidations>
  <printOptions horizontalCentered="1"/>
  <pageMargins left="0.7" right="0.7" top="0.75" bottom="0.75" header="0.3" footer="0.3"/>
  <pageSetup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F66DF-0C0D-491F-9C57-888F7376B201}">
  <sheetPr codeName="Sheet11">
    <tabColor indexed="47"/>
    <pageSetUpPr fitToPage="1"/>
  </sheetPr>
  <dimension ref="A1:U50"/>
  <sheetViews>
    <sheetView showGridLines="0" zoomScale="85" zoomScaleNormal="85" workbookViewId="0">
      <pane ySplit="2" topLeftCell="A3" activePane="bottomLeft" state="frozen"/>
      <selection activeCell="L5" sqref="L5"/>
      <selection pane="bottomLeft" activeCell="D34" sqref="D34"/>
    </sheetView>
  </sheetViews>
  <sheetFormatPr defaultRowHeight="12.75" x14ac:dyDescent="0.2"/>
  <cols>
    <col min="1" max="1" width="10.7109375" bestFit="1" customWidth="1"/>
    <col min="2" max="2" width="9.28515625" customWidth="1"/>
    <col min="3" max="3" width="12" customWidth="1"/>
    <col min="4" max="4" width="12.28515625" customWidth="1"/>
    <col min="5" max="5" width="21.140625" customWidth="1"/>
    <col min="6" max="6" width="11.7109375" hidden="1" customWidth="1"/>
    <col min="7" max="7" width="11.7109375" customWidth="1"/>
    <col min="8" max="8" width="20.5703125" customWidth="1"/>
    <col min="9" max="9" width="13" bestFit="1" customWidth="1"/>
    <col min="10" max="10" width="109.28515625" customWidth="1"/>
    <col min="11" max="11" width="15.7109375" bestFit="1" customWidth="1"/>
    <col min="12" max="12" width="11.7109375" bestFit="1" customWidth="1"/>
    <col min="13" max="13" width="9.42578125" bestFit="1" customWidth="1"/>
    <col min="14" max="14" width="5" bestFit="1" customWidth="1"/>
    <col min="15" max="15" width="16.42578125" bestFit="1" customWidth="1"/>
    <col min="16" max="16" width="20.5703125" customWidth="1"/>
    <col min="17" max="17" width="20.42578125" customWidth="1"/>
    <col min="18" max="18" width="17" customWidth="1"/>
    <col min="19" max="19" width="14.28515625" customWidth="1"/>
    <col min="20" max="20" width="16.5703125" bestFit="1" customWidth="1"/>
    <col min="21" max="21" width="16.28515625" bestFit="1" customWidth="1"/>
    <col min="22" max="22" width="10.140625" bestFit="1" customWidth="1"/>
    <col min="26" max="26" width="19.7109375" customWidth="1"/>
    <col min="30" max="30" width="18.5703125" customWidth="1"/>
  </cols>
  <sheetData>
    <row r="1" spans="1:21" x14ac:dyDescent="0.2">
      <c r="D1" s="102"/>
      <c r="E1" s="102"/>
      <c r="F1" s="102"/>
      <c r="G1" s="102"/>
      <c r="H1" s="102"/>
      <c r="I1" s="102"/>
      <c r="J1" s="102"/>
    </row>
    <row r="2" spans="1:21" x14ac:dyDescent="0.2">
      <c r="A2" s="1814" t="s">
        <v>2117</v>
      </c>
      <c r="B2" s="1815"/>
      <c r="C2" s="1815"/>
      <c r="D2" s="1815"/>
      <c r="E2" s="1815"/>
      <c r="F2" s="1815"/>
      <c r="G2" s="1815"/>
      <c r="H2" s="1815"/>
      <c r="I2" s="1815"/>
      <c r="J2" s="1816"/>
      <c r="S2" s="937" t="s">
        <v>682</v>
      </c>
      <c r="T2" s="127">
        <f ca="1">TODAY()</f>
        <v>46183</v>
      </c>
      <c r="U2" s="127">
        <f ca="1">TODAY()+31</f>
        <v>46214</v>
      </c>
    </row>
    <row r="3" spans="1:21" x14ac:dyDescent="0.2">
      <c r="A3" s="156"/>
      <c r="B3" s="155"/>
      <c r="C3" s="155"/>
      <c r="D3" s="155"/>
      <c r="E3" s="155"/>
      <c r="F3" s="155"/>
      <c r="G3" s="155"/>
      <c r="H3" s="155"/>
      <c r="I3" s="155"/>
      <c r="J3" s="975"/>
      <c r="S3" s="938" t="s">
        <v>688</v>
      </c>
      <c r="T3" s="136"/>
      <c r="U3" s="136"/>
    </row>
    <row r="4" spans="1:21" ht="12.6" customHeight="1" x14ac:dyDescent="0.2">
      <c r="A4" s="1829" t="s">
        <v>2118</v>
      </c>
      <c r="B4" s="1830"/>
      <c r="C4" s="1830"/>
      <c r="D4" s="1830"/>
      <c r="E4" s="1830"/>
      <c r="F4" s="1830"/>
      <c r="G4" s="1830"/>
      <c r="H4" s="1830"/>
      <c r="I4" s="1830"/>
      <c r="J4" s="1831"/>
      <c r="S4" s="609" t="s">
        <v>2119</v>
      </c>
    </row>
    <row r="5" spans="1:21" ht="12.95" customHeight="1" x14ac:dyDescent="0.2">
      <c r="A5" s="1829"/>
      <c r="B5" s="1830"/>
      <c r="C5" s="1830"/>
      <c r="D5" s="1830"/>
      <c r="E5" s="1830"/>
      <c r="F5" s="1830"/>
      <c r="G5" s="1830"/>
      <c r="H5" s="1830"/>
      <c r="I5" s="1830"/>
      <c r="J5" s="1831"/>
      <c r="S5" s="281" t="s">
        <v>2120</v>
      </c>
    </row>
    <row r="6" spans="1:21" ht="12.6" customHeight="1" x14ac:dyDescent="0.2">
      <c r="A6" s="1829" t="s">
        <v>2121</v>
      </c>
      <c r="B6" s="1830"/>
      <c r="C6" s="1830"/>
      <c r="D6" s="1830"/>
      <c r="E6" s="1830"/>
      <c r="F6" s="1830"/>
      <c r="G6" s="1830"/>
      <c r="H6" s="1830"/>
      <c r="I6" s="1830"/>
      <c r="J6" s="1831"/>
      <c r="S6" s="267" t="s">
        <v>2122</v>
      </c>
    </row>
    <row r="7" spans="1:21" ht="12.6" customHeight="1" x14ac:dyDescent="0.2">
      <c r="A7" s="1817" t="s">
        <v>2123</v>
      </c>
      <c r="B7" s="1818"/>
      <c r="C7" s="1818"/>
      <c r="D7" s="1818"/>
      <c r="E7" s="1818"/>
      <c r="F7" s="1818"/>
      <c r="G7" s="1818"/>
      <c r="H7" s="1818"/>
      <c r="I7" s="1818"/>
      <c r="J7" s="1819"/>
      <c r="S7" s="818">
        <f ca="1">TODAY()</f>
        <v>46183</v>
      </c>
    </row>
    <row r="8" spans="1:21" ht="12.6" customHeight="1" x14ac:dyDescent="0.2">
      <c r="A8" s="1832" t="s">
        <v>2124</v>
      </c>
      <c r="B8" s="1830"/>
      <c r="C8" s="1830"/>
      <c r="D8" s="1830"/>
      <c r="E8" s="1830"/>
      <c r="F8" s="1830"/>
      <c r="G8" s="1830"/>
      <c r="H8" s="1830"/>
      <c r="I8" s="1830"/>
      <c r="J8" s="1831"/>
    </row>
    <row r="9" spans="1:21" ht="15.95" customHeight="1" x14ac:dyDescent="0.2">
      <c r="A9" s="185"/>
      <c r="D9" s="102"/>
      <c r="E9" s="102"/>
      <c r="F9" s="102"/>
      <c r="H9" s="102"/>
      <c r="I9" s="102"/>
      <c r="J9" s="102"/>
    </row>
    <row r="10" spans="1:21" x14ac:dyDescent="0.2">
      <c r="D10" s="102"/>
      <c r="E10" s="102"/>
      <c r="F10" s="102"/>
      <c r="G10" s="102"/>
      <c r="H10" s="102"/>
      <c r="I10" s="102"/>
      <c r="J10" s="102"/>
    </row>
    <row r="11" spans="1:21" x14ac:dyDescent="0.2">
      <c r="A11" s="1814" t="s">
        <v>2125</v>
      </c>
      <c r="B11" s="1815"/>
      <c r="C11" s="1815"/>
      <c r="D11" s="1815"/>
      <c r="E11" s="1815"/>
      <c r="F11" s="1815"/>
      <c r="G11" s="1815"/>
      <c r="H11" s="1815"/>
      <c r="I11" s="1816"/>
    </row>
    <row r="12" spans="1:21" x14ac:dyDescent="0.2">
      <c r="A12" s="1826" t="s">
        <v>2126</v>
      </c>
      <c r="B12" s="1827"/>
      <c r="C12" s="1827"/>
      <c r="D12" s="1827"/>
      <c r="E12" s="1827"/>
      <c r="F12" s="1827"/>
      <c r="G12" s="1827"/>
      <c r="H12" s="1827"/>
      <c r="I12" s="1828"/>
    </row>
    <row r="13" spans="1:21" x14ac:dyDescent="0.2">
      <c r="A13" s="103"/>
      <c r="B13" s="103"/>
      <c r="C13" s="103"/>
      <c r="D13" s="103"/>
      <c r="E13" s="30"/>
      <c r="F13" s="30"/>
      <c r="G13" s="30"/>
      <c r="H13" s="30"/>
      <c r="I13" s="30"/>
    </row>
    <row r="14" spans="1:21" x14ac:dyDescent="0.2">
      <c r="A14" s="103"/>
      <c r="B14" s="103"/>
      <c r="C14" s="103"/>
      <c r="D14" s="30"/>
      <c r="E14" s="30"/>
      <c r="F14" s="30"/>
      <c r="G14" s="30"/>
      <c r="H14" s="30"/>
      <c r="I14" s="30"/>
    </row>
    <row r="15" spans="1:21" ht="3.75" customHeight="1" x14ac:dyDescent="0.2">
      <c r="D15" s="102"/>
      <c r="E15" s="102"/>
      <c r="F15" s="102"/>
      <c r="G15" s="102"/>
      <c r="H15" s="102"/>
      <c r="I15" s="102"/>
      <c r="J15" s="102"/>
    </row>
    <row r="16" spans="1:21" ht="12.95" hidden="1" customHeight="1" x14ac:dyDescent="0.2">
      <c r="A16" s="1814" t="s">
        <v>654</v>
      </c>
      <c r="B16" s="1815"/>
      <c r="C16" s="1815"/>
      <c r="D16" s="1815"/>
      <c r="E16" s="1815"/>
      <c r="F16" s="1815"/>
      <c r="G16" s="1815"/>
      <c r="H16" s="1815"/>
      <c r="I16" s="1816"/>
      <c r="J16" s="102"/>
    </row>
    <row r="17" spans="1:17" ht="13.5" hidden="1" customHeight="1" x14ac:dyDescent="0.2">
      <c r="A17" s="1820" t="s">
        <v>655</v>
      </c>
      <c r="B17" s="1821"/>
      <c r="C17" s="1821"/>
      <c r="D17" s="1821"/>
      <c r="E17" s="1821"/>
      <c r="F17" s="1821"/>
      <c r="G17" s="1821"/>
      <c r="H17" s="1821"/>
      <c r="I17" s="1822"/>
      <c r="J17" s="102"/>
    </row>
    <row r="18" spans="1:17" ht="15.75" customHeight="1" x14ac:dyDescent="0.2">
      <c r="D18" s="102"/>
      <c r="E18" s="102"/>
      <c r="F18" s="102"/>
      <c r="G18" s="102"/>
      <c r="H18" s="102"/>
      <c r="I18" s="102"/>
      <c r="J18" s="102"/>
    </row>
    <row r="19" spans="1:17" ht="18" customHeight="1" x14ac:dyDescent="0.2">
      <c r="A19" s="1806" t="s">
        <v>2127</v>
      </c>
      <c r="B19" s="1807"/>
      <c r="C19" s="111" t="s">
        <v>500</v>
      </c>
      <c r="D19" s="111" t="s">
        <v>9</v>
      </c>
      <c r="E19" s="1823" t="s">
        <v>2128</v>
      </c>
      <c r="F19" s="1825"/>
      <c r="G19" s="1823" t="s">
        <v>678</v>
      </c>
      <c r="H19" s="1824"/>
      <c r="I19" s="1824"/>
      <c r="J19" s="1825"/>
    </row>
    <row r="20" spans="1:17" x14ac:dyDescent="0.2">
      <c r="A20" s="1808"/>
      <c r="B20" s="1809"/>
      <c r="C20" s="292">
        <v>15</v>
      </c>
      <c r="D20" s="98">
        <v>13</v>
      </c>
      <c r="E20" s="1812">
        <v>8</v>
      </c>
      <c r="F20" s="1813"/>
      <c r="G20" s="1664"/>
      <c r="H20" s="1802"/>
      <c r="I20" s="1802"/>
      <c r="J20" s="1803"/>
    </row>
    <row r="21" spans="1:17" x14ac:dyDescent="0.2">
      <c r="A21" s="1810"/>
      <c r="B21" s="1811"/>
      <c r="C21" s="362">
        <v>10</v>
      </c>
      <c r="D21" s="98">
        <v>5</v>
      </c>
      <c r="E21" s="1804">
        <v>4</v>
      </c>
      <c r="F21" s="1805"/>
      <c r="G21" s="1664"/>
      <c r="H21" s="1802"/>
      <c r="I21" s="1802"/>
      <c r="J21" s="1803"/>
    </row>
    <row r="22" spans="1:17" ht="6" customHeight="1" x14ac:dyDescent="0.2">
      <c r="J22" s="140"/>
      <c r="O22" s="134"/>
      <c r="Q22" s="140"/>
    </row>
    <row r="23" spans="1:17" ht="10.5" customHeight="1" x14ac:dyDescent="0.2">
      <c r="O23" s="134"/>
    </row>
    <row r="24" spans="1:17" ht="31.5" x14ac:dyDescent="0.2">
      <c r="A24" s="110" t="s">
        <v>2129</v>
      </c>
      <c r="B24" s="110" t="s">
        <v>2130</v>
      </c>
      <c r="C24" s="110" t="s">
        <v>11</v>
      </c>
      <c r="D24" s="110" t="s">
        <v>2131</v>
      </c>
      <c r="E24" s="110" t="s">
        <v>2132</v>
      </c>
      <c r="F24" s="110" t="s">
        <v>2133</v>
      </c>
      <c r="G24" s="110" t="s">
        <v>2134</v>
      </c>
      <c r="H24" s="110" t="s">
        <v>2135</v>
      </c>
      <c r="I24" s="110" t="s">
        <v>2136</v>
      </c>
      <c r="J24" s="977" t="s">
        <v>634</v>
      </c>
      <c r="K24" s="269" t="s">
        <v>2137</v>
      </c>
      <c r="L24" s="269" t="s">
        <v>2138</v>
      </c>
      <c r="M24" s="2"/>
    </row>
    <row r="25" spans="1:17" ht="15.75" customHeight="1" x14ac:dyDescent="0.2">
      <c r="A25" s="462">
        <v>1</v>
      </c>
      <c r="B25" s="292">
        <v>15</v>
      </c>
      <c r="C25" s="558" t="s">
        <v>688</v>
      </c>
      <c r="D25" s="462" t="s">
        <v>130</v>
      </c>
      <c r="E25" s="29" t="s">
        <v>2139</v>
      </c>
      <c r="F25" s="181">
        <v>44945</v>
      </c>
      <c r="G25" s="275">
        <v>46040</v>
      </c>
      <c r="H25" s="275">
        <v>47027</v>
      </c>
      <c r="I25" s="466">
        <v>46284</v>
      </c>
      <c r="J25" s="978" t="s">
        <v>2140</v>
      </c>
      <c r="K25" s="181">
        <v>46063</v>
      </c>
      <c r="L25" s="307" t="s">
        <v>646</v>
      </c>
    </row>
    <row r="26" spans="1:17" ht="15.75" customHeight="1" x14ac:dyDescent="0.25">
      <c r="A26" s="462">
        <v>2</v>
      </c>
      <c r="B26" s="292">
        <v>15</v>
      </c>
      <c r="C26" s="1351" t="s">
        <v>682</v>
      </c>
      <c r="D26" s="462" t="s">
        <v>130</v>
      </c>
      <c r="E26" s="22" t="s">
        <v>2141</v>
      </c>
      <c r="F26" s="434">
        <v>45467</v>
      </c>
      <c r="G26" s="275">
        <v>46222</v>
      </c>
      <c r="H26" s="275" t="s">
        <v>2142</v>
      </c>
      <c r="I26" s="435">
        <v>46452</v>
      </c>
      <c r="J26" s="978"/>
      <c r="K26" s="970" t="s">
        <v>2143</v>
      </c>
      <c r="L26" s="307" t="s">
        <v>646</v>
      </c>
      <c r="N26" s="462"/>
      <c r="O26" s="464" t="s">
        <v>1102</v>
      </c>
      <c r="P26" s="463" t="s">
        <v>2144</v>
      </c>
    </row>
    <row r="27" spans="1:17" ht="15.75" customHeight="1" x14ac:dyDescent="0.25">
      <c r="A27" s="462">
        <v>3</v>
      </c>
      <c r="B27" s="292">
        <v>15</v>
      </c>
      <c r="C27" s="1351" t="s">
        <v>682</v>
      </c>
      <c r="D27" s="462" t="s">
        <v>130</v>
      </c>
      <c r="E27" s="29" t="s">
        <v>2145</v>
      </c>
      <c r="F27" s="434">
        <v>45467</v>
      </c>
      <c r="G27" s="275">
        <v>46222</v>
      </c>
      <c r="H27" s="275" t="s">
        <v>2142</v>
      </c>
      <c r="I27" s="280">
        <v>46448</v>
      </c>
      <c r="J27" s="978"/>
      <c r="K27" s="970">
        <v>46084</v>
      </c>
      <c r="L27" s="307" t="s">
        <v>62</v>
      </c>
      <c r="N27" s="202" t="s">
        <v>2146</v>
      </c>
      <c r="O27" s="29" t="s">
        <v>2147</v>
      </c>
      <c r="P27" s="181" t="s">
        <v>2148</v>
      </c>
    </row>
    <row r="28" spans="1:17" ht="15.75" customHeight="1" x14ac:dyDescent="0.25">
      <c r="A28" s="462">
        <v>4</v>
      </c>
      <c r="B28" s="292">
        <v>15</v>
      </c>
      <c r="C28" s="1351" t="s">
        <v>682</v>
      </c>
      <c r="D28" s="462" t="s">
        <v>130</v>
      </c>
      <c r="E28" s="29" t="s">
        <v>2149</v>
      </c>
      <c r="F28" s="181">
        <v>45468</v>
      </c>
      <c r="G28" s="275">
        <v>46222</v>
      </c>
      <c r="H28" s="275">
        <v>47027</v>
      </c>
      <c r="I28" s="280">
        <v>46448</v>
      </c>
      <c r="J28" s="978"/>
      <c r="K28" s="970">
        <v>46084</v>
      </c>
      <c r="L28" s="307" t="s">
        <v>62</v>
      </c>
      <c r="N28" s="202" t="s">
        <v>503</v>
      </c>
      <c r="O28" s="29" t="s">
        <v>1106</v>
      </c>
      <c r="P28" s="181" t="s">
        <v>1526</v>
      </c>
    </row>
    <row r="29" spans="1:17" ht="15.75" customHeight="1" x14ac:dyDescent="0.25">
      <c r="A29" s="462">
        <v>5</v>
      </c>
      <c r="B29" s="361">
        <v>10</v>
      </c>
      <c r="C29" s="1351" t="s">
        <v>682</v>
      </c>
      <c r="D29" s="462" t="s">
        <v>130</v>
      </c>
      <c r="E29" s="29" t="s">
        <v>2150</v>
      </c>
      <c r="F29" s="181">
        <v>45468</v>
      </c>
      <c r="G29" s="275">
        <v>46222</v>
      </c>
      <c r="H29" s="275">
        <v>48366</v>
      </c>
      <c r="I29" s="275">
        <v>46448</v>
      </c>
      <c r="J29" s="978"/>
      <c r="K29" s="970">
        <v>46084</v>
      </c>
      <c r="L29" s="307" t="s">
        <v>62</v>
      </c>
    </row>
    <row r="30" spans="1:17" ht="15.75" customHeight="1" x14ac:dyDescent="0.2">
      <c r="A30" s="462">
        <v>6</v>
      </c>
      <c r="B30" s="361">
        <v>10</v>
      </c>
      <c r="C30" s="1351" t="s">
        <v>682</v>
      </c>
      <c r="D30" s="462" t="s">
        <v>130</v>
      </c>
      <c r="E30" s="29" t="s">
        <v>2151</v>
      </c>
      <c r="F30" s="181">
        <v>45012</v>
      </c>
      <c r="G30" s="275">
        <v>46628</v>
      </c>
      <c r="H30" s="275">
        <v>48366</v>
      </c>
      <c r="I30" s="279">
        <v>46345</v>
      </c>
      <c r="J30" s="978"/>
      <c r="K30" s="181">
        <v>46085</v>
      </c>
      <c r="L30" s="307" t="s">
        <v>62</v>
      </c>
    </row>
    <row r="31" spans="1:17" ht="15" x14ac:dyDescent="0.25">
      <c r="A31" s="462">
        <v>7</v>
      </c>
      <c r="B31" s="361">
        <v>10</v>
      </c>
      <c r="C31" s="1351" t="s">
        <v>682</v>
      </c>
      <c r="D31" s="462" t="s">
        <v>130</v>
      </c>
      <c r="E31" s="29" t="s">
        <v>2152</v>
      </c>
      <c r="F31" s="181">
        <v>44981</v>
      </c>
      <c r="G31" s="856">
        <v>46229</v>
      </c>
      <c r="H31" s="275" t="s">
        <v>2142</v>
      </c>
      <c r="I31" s="279">
        <v>46452</v>
      </c>
      <c r="J31" s="978"/>
      <c r="K31" s="971" t="s">
        <v>2143</v>
      </c>
      <c r="L31" s="307" t="s">
        <v>646</v>
      </c>
    </row>
    <row r="32" spans="1:17" ht="15.75" customHeight="1" x14ac:dyDescent="0.25">
      <c r="A32" s="462">
        <v>8</v>
      </c>
      <c r="B32" s="292">
        <v>15</v>
      </c>
      <c r="C32" s="1351" t="s">
        <v>682</v>
      </c>
      <c r="D32" s="462" t="s">
        <v>130</v>
      </c>
      <c r="E32" s="29" t="s">
        <v>2153</v>
      </c>
      <c r="F32" s="181">
        <v>45012</v>
      </c>
      <c r="G32" s="275">
        <v>46628</v>
      </c>
      <c r="H32" s="275">
        <v>48366</v>
      </c>
      <c r="I32" s="279">
        <v>46541</v>
      </c>
      <c r="J32" s="986"/>
      <c r="K32" s="971" t="s">
        <v>2143</v>
      </c>
      <c r="L32" s="307" t="s">
        <v>646</v>
      </c>
    </row>
    <row r="33" spans="1:15" ht="15.75" customHeight="1" x14ac:dyDescent="0.2">
      <c r="A33" s="462">
        <v>9</v>
      </c>
      <c r="B33" s="292">
        <v>15</v>
      </c>
      <c r="C33" s="1351" t="s">
        <v>682</v>
      </c>
      <c r="D33" s="462" t="s">
        <v>130</v>
      </c>
      <c r="E33" s="29" t="s">
        <v>2154</v>
      </c>
      <c r="F33" s="181">
        <v>44788</v>
      </c>
      <c r="G33" s="275">
        <v>46628</v>
      </c>
      <c r="H33" s="275">
        <v>47027</v>
      </c>
      <c r="I33" s="279">
        <v>46514</v>
      </c>
      <c r="J33" s="978"/>
      <c r="K33" s="181">
        <v>46155</v>
      </c>
      <c r="L33" s="307" t="s">
        <v>62</v>
      </c>
    </row>
    <row r="34" spans="1:15" ht="15.75" customHeight="1" x14ac:dyDescent="0.2">
      <c r="A34" s="462">
        <v>10</v>
      </c>
      <c r="B34" s="292">
        <v>15</v>
      </c>
      <c r="C34" s="1351" t="s">
        <v>682</v>
      </c>
      <c r="D34" s="462" t="s">
        <v>130</v>
      </c>
      <c r="E34" s="29" t="s">
        <v>2155</v>
      </c>
      <c r="F34" s="181">
        <v>45012</v>
      </c>
      <c r="G34" s="275">
        <v>46229</v>
      </c>
      <c r="H34" s="275">
        <v>47027</v>
      </c>
      <c r="I34" s="312">
        <v>46368</v>
      </c>
      <c r="J34" s="978"/>
      <c r="K34" s="181">
        <v>46008</v>
      </c>
      <c r="L34" s="307" t="s">
        <v>62</v>
      </c>
    </row>
    <row r="35" spans="1:15" ht="15.75" customHeight="1" x14ac:dyDescent="0.2">
      <c r="A35" s="462">
        <v>11</v>
      </c>
      <c r="B35" s="292">
        <v>15</v>
      </c>
      <c r="C35" s="1351" t="s">
        <v>682</v>
      </c>
      <c r="D35" s="462" t="s">
        <v>130</v>
      </c>
      <c r="E35" s="29" t="s">
        <v>2156</v>
      </c>
      <c r="F35" s="181">
        <v>45012</v>
      </c>
      <c r="G35" s="275">
        <v>46628</v>
      </c>
      <c r="H35" s="275">
        <v>47027</v>
      </c>
      <c r="I35" s="943">
        <v>46368</v>
      </c>
      <c r="J35" s="978"/>
      <c r="K35" s="181">
        <v>46085</v>
      </c>
      <c r="L35" s="307" t="s">
        <v>62</v>
      </c>
    </row>
    <row r="36" spans="1:15" ht="15.75" customHeight="1" x14ac:dyDescent="0.2">
      <c r="A36" s="462">
        <v>12</v>
      </c>
      <c r="B36" s="292">
        <v>15</v>
      </c>
      <c r="C36" s="1351" t="s">
        <v>682</v>
      </c>
      <c r="D36" s="462" t="s">
        <v>130</v>
      </c>
      <c r="E36" s="29" t="s">
        <v>2157</v>
      </c>
      <c r="F36" s="181">
        <v>45012</v>
      </c>
      <c r="G36" s="275">
        <v>46628</v>
      </c>
      <c r="H36" s="275">
        <v>47027</v>
      </c>
      <c r="I36" s="279">
        <v>46345</v>
      </c>
      <c r="J36" s="978"/>
      <c r="K36" s="181">
        <v>46085</v>
      </c>
      <c r="L36" s="307" t="s">
        <v>62</v>
      </c>
    </row>
    <row r="37" spans="1:15" x14ac:dyDescent="0.2">
      <c r="A37" s="462">
        <v>13</v>
      </c>
      <c r="B37" s="292">
        <v>15</v>
      </c>
      <c r="C37" s="1351" t="s">
        <v>682</v>
      </c>
      <c r="D37" s="462" t="s">
        <v>130</v>
      </c>
      <c r="E37" s="29" t="s">
        <v>2158</v>
      </c>
      <c r="F37" s="181">
        <v>44945</v>
      </c>
      <c r="G37" s="275">
        <v>46229</v>
      </c>
      <c r="H37" s="275" t="s">
        <v>2159</v>
      </c>
      <c r="I37" s="279">
        <v>46514</v>
      </c>
      <c r="J37" s="978"/>
      <c r="K37" s="181">
        <v>46155</v>
      </c>
      <c r="L37" s="307" t="s">
        <v>62</v>
      </c>
    </row>
    <row r="38" spans="1:15" x14ac:dyDescent="0.2">
      <c r="A38" s="204">
        <v>14</v>
      </c>
      <c r="B38" s="292">
        <v>15</v>
      </c>
      <c r="C38" s="1351" t="s">
        <v>682</v>
      </c>
      <c r="D38" s="462" t="s">
        <v>130</v>
      </c>
      <c r="E38" s="29" t="s">
        <v>2160</v>
      </c>
      <c r="F38" s="181">
        <v>44981</v>
      </c>
      <c r="G38" s="275">
        <v>46231</v>
      </c>
      <c r="H38" s="280">
        <v>47058</v>
      </c>
      <c r="I38" s="461">
        <v>46501</v>
      </c>
      <c r="J38" s="978"/>
      <c r="K38" s="181">
        <v>46155</v>
      </c>
      <c r="L38" s="307" t="s">
        <v>62</v>
      </c>
    </row>
    <row r="39" spans="1:15" ht="18" customHeight="1" x14ac:dyDescent="0.2">
      <c r="A39" s="462">
        <v>15</v>
      </c>
      <c r="B39" s="292">
        <v>15</v>
      </c>
      <c r="C39" s="1351" t="s">
        <v>682</v>
      </c>
      <c r="D39" s="462" t="s">
        <v>130</v>
      </c>
      <c r="E39" s="29" t="s">
        <v>2161</v>
      </c>
      <c r="F39" s="181">
        <v>45012</v>
      </c>
      <c r="G39" s="275">
        <v>46231</v>
      </c>
      <c r="H39" s="280" t="s">
        <v>2162</v>
      </c>
      <c r="I39" s="461">
        <v>46312</v>
      </c>
      <c r="J39" s="978"/>
      <c r="K39" s="181">
        <v>46055</v>
      </c>
      <c r="L39" s="961" t="s">
        <v>2163</v>
      </c>
      <c r="O39">
        <v>3</v>
      </c>
    </row>
    <row r="40" spans="1:15" x14ac:dyDescent="0.2">
      <c r="A40" s="462">
        <v>16</v>
      </c>
      <c r="B40" s="292">
        <v>15</v>
      </c>
      <c r="C40" s="1350" t="s">
        <v>682</v>
      </c>
      <c r="D40" s="462" t="s">
        <v>130</v>
      </c>
      <c r="E40" s="29" t="s">
        <v>2164</v>
      </c>
      <c r="F40" s="181">
        <v>44945</v>
      </c>
      <c r="G40" s="275">
        <v>46594</v>
      </c>
      <c r="H40" s="275">
        <v>47058</v>
      </c>
      <c r="I40" s="435">
        <v>46501</v>
      </c>
      <c r="J40" s="978"/>
      <c r="K40" s="181">
        <v>46155</v>
      </c>
      <c r="L40" s="307" t="s">
        <v>62</v>
      </c>
    </row>
    <row r="41" spans="1:15" ht="34.5" customHeight="1" x14ac:dyDescent="0.2">
      <c r="A41" s="462">
        <v>17</v>
      </c>
      <c r="B41" s="361">
        <v>10</v>
      </c>
      <c r="C41" s="558" t="s">
        <v>688</v>
      </c>
      <c r="D41" s="462" t="s">
        <v>130</v>
      </c>
      <c r="E41" s="29" t="s">
        <v>2165</v>
      </c>
      <c r="F41" s="181">
        <v>44945</v>
      </c>
      <c r="G41" s="275">
        <v>46158</v>
      </c>
      <c r="H41" s="275" t="s">
        <v>2159</v>
      </c>
      <c r="I41" s="435">
        <v>46346</v>
      </c>
      <c r="J41" s="990" t="s">
        <v>2166</v>
      </c>
      <c r="K41" s="181">
        <v>46161</v>
      </c>
      <c r="L41" s="307" t="s">
        <v>52</v>
      </c>
    </row>
    <row r="42" spans="1:15" ht="27.75" customHeight="1" x14ac:dyDescent="0.2">
      <c r="A42" s="260">
        <v>18</v>
      </c>
      <c r="B42" s="361">
        <v>10</v>
      </c>
      <c r="C42" s="558" t="s">
        <v>688</v>
      </c>
      <c r="D42" s="147" t="s">
        <v>130</v>
      </c>
      <c r="E42" s="29" t="s">
        <v>2167</v>
      </c>
      <c r="F42" s="181">
        <v>44788</v>
      </c>
      <c r="G42" s="275">
        <v>46158</v>
      </c>
      <c r="H42" s="280" t="s">
        <v>2168</v>
      </c>
      <c r="I42" s="312">
        <v>46122</v>
      </c>
      <c r="J42" s="979" t="s">
        <v>2169</v>
      </c>
      <c r="K42" s="181">
        <v>46161</v>
      </c>
      <c r="L42" s="307" t="s">
        <v>52</v>
      </c>
    </row>
    <row r="43" spans="1:15" ht="15.75" customHeight="1" x14ac:dyDescent="0.2">
      <c r="A43" s="260" t="s">
        <v>2170</v>
      </c>
      <c r="B43" s="361">
        <v>10</v>
      </c>
      <c r="C43" s="147"/>
      <c r="D43" s="147"/>
      <c r="E43" s="29" t="s">
        <v>2171</v>
      </c>
      <c r="F43" s="181"/>
      <c r="G43" s="275"/>
      <c r="H43" s="275"/>
      <c r="I43" s="941">
        <v>46368</v>
      </c>
      <c r="J43" s="978" t="s">
        <v>2172</v>
      </c>
      <c r="K43" s="181">
        <v>46073</v>
      </c>
      <c r="L43" s="307" t="s">
        <v>62</v>
      </c>
    </row>
    <row r="44" spans="1:15" ht="15.75" customHeight="1" x14ac:dyDescent="0.2">
      <c r="A44" s="260" t="s">
        <v>2173</v>
      </c>
      <c r="B44" s="292">
        <v>15</v>
      </c>
      <c r="C44" s="147"/>
      <c r="D44" s="147"/>
      <c r="E44" s="29" t="s">
        <v>2174</v>
      </c>
      <c r="F44" s="181"/>
      <c r="G44" s="275"/>
      <c r="H44" s="280"/>
      <c r="I44" s="941">
        <v>46352</v>
      </c>
      <c r="J44" s="980" t="s">
        <v>2175</v>
      </c>
      <c r="K44" s="181">
        <v>46084</v>
      </c>
      <c r="L44" s="307" t="s">
        <v>62</v>
      </c>
    </row>
    <row r="45" spans="1:15" ht="15.75" customHeight="1" x14ac:dyDescent="0.2">
      <c r="A45" s="260" t="s">
        <v>2176</v>
      </c>
      <c r="B45" s="361">
        <v>10</v>
      </c>
      <c r="C45" s="147"/>
      <c r="D45" s="147"/>
      <c r="E45" s="29" t="s">
        <v>2177</v>
      </c>
      <c r="F45" s="181"/>
      <c r="G45" s="275"/>
      <c r="H45" s="280"/>
      <c r="I45" s="941">
        <v>46368</v>
      </c>
      <c r="J45" s="981" t="s">
        <v>2178</v>
      </c>
      <c r="K45" s="181">
        <v>45981</v>
      </c>
      <c r="L45" s="307" t="s">
        <v>62</v>
      </c>
    </row>
    <row r="47" spans="1:15" ht="31.5" customHeight="1" x14ac:dyDescent="0.45">
      <c r="A47" s="1789" t="s">
        <v>2179</v>
      </c>
      <c r="B47" s="1790"/>
      <c r="C47" s="226" t="s">
        <v>11</v>
      </c>
      <c r="D47" s="112" t="s">
        <v>1976</v>
      </c>
      <c r="E47" s="112" t="s">
        <v>2180</v>
      </c>
      <c r="F47" s="1572" t="s">
        <v>2181</v>
      </c>
      <c r="G47" s="1801"/>
      <c r="H47" s="1801"/>
      <c r="I47" s="1573"/>
      <c r="K47" s="465"/>
      <c r="O47" s="140"/>
    </row>
    <row r="48" spans="1:15" x14ac:dyDescent="0.2">
      <c r="A48" s="1791"/>
      <c r="B48" s="1792"/>
      <c r="C48" s="374" t="s">
        <v>682</v>
      </c>
      <c r="D48" s="168" t="s">
        <v>130</v>
      </c>
      <c r="E48" s="22">
        <v>65948</v>
      </c>
      <c r="F48" s="1798"/>
      <c r="G48" s="1799"/>
      <c r="H48" s="1799"/>
      <c r="I48" s="1800"/>
    </row>
    <row r="49" spans="1:16" x14ac:dyDescent="0.2">
      <c r="A49" s="1793"/>
      <c r="B49" s="1794"/>
      <c r="C49" s="22" t="s">
        <v>682</v>
      </c>
      <c r="D49" s="168" t="s">
        <v>130</v>
      </c>
      <c r="E49" s="22">
        <v>65949</v>
      </c>
      <c r="F49" s="1795"/>
      <c r="G49" s="1796"/>
      <c r="H49" s="1796"/>
      <c r="I49" s="1797"/>
      <c r="P49" s="185"/>
    </row>
    <row r="50" spans="1:16" x14ac:dyDescent="0.2">
      <c r="P50" s="185"/>
    </row>
  </sheetData>
  <mergeCells count="21">
    <mergeCell ref="A2:J2"/>
    <mergeCell ref="A4:J4"/>
    <mergeCell ref="A5:J5"/>
    <mergeCell ref="A6:J6"/>
    <mergeCell ref="A8:J8"/>
    <mergeCell ref="A16:I16"/>
    <mergeCell ref="A7:J7"/>
    <mergeCell ref="G21:J21"/>
    <mergeCell ref="A17:I17"/>
    <mergeCell ref="G19:J19"/>
    <mergeCell ref="E19:F19"/>
    <mergeCell ref="A12:I12"/>
    <mergeCell ref="A11:I11"/>
    <mergeCell ref="A47:B49"/>
    <mergeCell ref="F49:I49"/>
    <mergeCell ref="F48:I48"/>
    <mergeCell ref="F47:I47"/>
    <mergeCell ref="G20:J20"/>
    <mergeCell ref="E21:F21"/>
    <mergeCell ref="A19:B21"/>
    <mergeCell ref="E20:F20"/>
  </mergeCells>
  <phoneticPr fontId="5" type="noConversion"/>
  <conditionalFormatting sqref="C48:C49">
    <cfRule type="cellIs" dxfId="87" priority="138" stopIfTrue="1" operator="equal">
      <formula>$S$4</formula>
    </cfRule>
    <cfRule type="cellIs" dxfId="86" priority="139" stopIfTrue="1" operator="equal">
      <formula>$S$2</formula>
    </cfRule>
  </conditionalFormatting>
  <conditionalFormatting sqref="I25:I45">
    <cfRule type="expression" dxfId="85" priority="11" stopIfTrue="1">
      <formula>$I25&gt;TODAY()+30</formula>
    </cfRule>
    <cfRule type="expression" dxfId="84" priority="12" stopIfTrue="1">
      <formula>AND(I25&gt;=TODAY()+1, I25&lt;=TODAY()+30)</formula>
    </cfRule>
    <cfRule type="expression" dxfId="83" priority="14" stopIfTrue="1">
      <formula>$I25&lt;=TODAY()</formula>
    </cfRule>
  </conditionalFormatting>
  <conditionalFormatting sqref="G25:G42">
    <cfRule type="expression" dxfId="82" priority="5" stopIfTrue="1">
      <formula>$G25&lt;=TODAY()</formula>
    </cfRule>
    <cfRule type="expression" dxfId="81" priority="6" stopIfTrue="1">
      <formula>$G25&gt;TODAY()+30</formula>
    </cfRule>
    <cfRule type="expression" dxfId="80" priority="7" stopIfTrue="1">
      <formula>AND(G25&gt;=TODAY()+1, G25&lt;=TODAY()+30)</formula>
    </cfRule>
  </conditionalFormatting>
  <conditionalFormatting sqref="C25:C42">
    <cfRule type="cellIs" dxfId="79" priority="1" stopIfTrue="1" operator="equal">
      <formula>$S$4</formula>
    </cfRule>
    <cfRule type="cellIs" dxfId="78" priority="2" stopIfTrue="1" operator="equal">
      <formula>$S$2</formula>
    </cfRule>
  </conditionalFormatting>
  <dataValidations count="1">
    <dataValidation type="list" allowBlank="1" showInputMessage="1" showErrorMessage="1" sqref="C48:C49 C25:C42" xr:uid="{4429AF3C-EA3D-4349-BDA6-15CE6F8613C7}">
      <formula1>$S$2:$S$6</formula1>
    </dataValidation>
  </dataValidations>
  <hyperlinks>
    <hyperlink ref="A17" r:id="rId1" xr:uid="{ED269AC0-0133-4AB3-B82C-77D8D41794CB}"/>
  </hyperlinks>
  <printOptions horizontalCentered="1" gridLines="1"/>
  <pageMargins left="0.74803149606299213" right="0.74803149606299213" top="0.98425196850393704" bottom="0.98425196850393704" header="0.51181102362204722" footer="0.51181102362204722"/>
  <pageSetup paperSize="5" scale="41" orientation="landscape" r:id="rId2"/>
  <headerFooter alignWithMargins="0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55CB8-E0CD-4233-8C96-FAAB9BEA7EE0}">
  <sheetPr codeName="Sheet16">
    <tabColor rgb="FFFFC000"/>
    <pageSetUpPr fitToPage="1"/>
  </sheetPr>
  <dimension ref="A1:Z118"/>
  <sheetViews>
    <sheetView topLeftCell="H25" zoomScale="70" zoomScaleNormal="70" workbookViewId="0">
      <selection activeCell="L26" sqref="L26:L28"/>
    </sheetView>
  </sheetViews>
  <sheetFormatPr defaultRowHeight="12.75" x14ac:dyDescent="0.2"/>
  <cols>
    <col min="1" max="1" width="26" customWidth="1"/>
    <col min="2" max="2" width="22.140625" customWidth="1"/>
    <col min="3" max="3" width="16.85546875" customWidth="1"/>
    <col min="4" max="4" width="11.85546875" customWidth="1"/>
    <col min="5" max="5" width="16.7109375" customWidth="1"/>
    <col min="6" max="6" width="17.28515625" customWidth="1"/>
    <col min="7" max="7" width="60.7109375" bestFit="1" customWidth="1"/>
    <col min="8" max="8" width="20" customWidth="1"/>
    <col min="9" max="9" width="24" customWidth="1"/>
    <col min="10" max="10" width="25.85546875" customWidth="1"/>
    <col min="11" max="11" width="25.5703125" customWidth="1"/>
    <col min="12" max="12" width="73" customWidth="1"/>
    <col min="13" max="13" width="15" hidden="1" customWidth="1"/>
    <col min="14" max="14" width="9.42578125" hidden="1" customWidth="1"/>
    <col min="15" max="15" width="88.28515625" customWidth="1"/>
    <col min="16" max="16" width="16.7109375" customWidth="1"/>
    <col min="19" max="20" width="9.140625" customWidth="1"/>
    <col min="21" max="22" width="10.140625" customWidth="1"/>
  </cols>
  <sheetData>
    <row r="1" spans="1:26" ht="54.75" customHeight="1" x14ac:dyDescent="0.2">
      <c r="A1" s="1881" t="s">
        <v>2182</v>
      </c>
      <c r="B1" s="781" t="s">
        <v>2183</v>
      </c>
      <c r="C1" s="781" t="s">
        <v>2184</v>
      </c>
      <c r="D1" s="781" t="s">
        <v>1976</v>
      </c>
      <c r="E1" s="781" t="s">
        <v>2185</v>
      </c>
      <c r="F1" s="781" t="s">
        <v>2186</v>
      </c>
      <c r="G1" s="781" t="s">
        <v>2187</v>
      </c>
      <c r="H1" s="782" t="s">
        <v>2188</v>
      </c>
      <c r="I1" s="783" t="s">
        <v>2189</v>
      </c>
      <c r="J1" s="784" t="s">
        <v>2190</v>
      </c>
      <c r="K1" s="784" t="s">
        <v>2191</v>
      </c>
      <c r="L1" s="781" t="s">
        <v>634</v>
      </c>
      <c r="M1" s="785"/>
      <c r="N1" s="785"/>
      <c r="O1" s="786" t="s">
        <v>634</v>
      </c>
    </row>
    <row r="2" spans="1:26" ht="30" customHeight="1" x14ac:dyDescent="0.25">
      <c r="A2" s="1882"/>
      <c r="B2" s="1884" t="s">
        <v>2192</v>
      </c>
      <c r="C2" s="1886" t="s">
        <v>682</v>
      </c>
      <c r="D2" s="1880" t="s">
        <v>130</v>
      </c>
      <c r="E2" s="1838">
        <v>58.77</v>
      </c>
      <c r="F2" s="788" t="s">
        <v>2193</v>
      </c>
      <c r="G2" s="758" t="s">
        <v>2194</v>
      </c>
      <c r="H2" s="758" t="e">
        <f>G2-E2</f>
        <v>#VALUE!</v>
      </c>
      <c r="I2" s="758" t="s">
        <v>2195</v>
      </c>
      <c r="J2" s="759">
        <v>46215</v>
      </c>
      <c r="K2" s="760">
        <v>46813</v>
      </c>
      <c r="L2" s="1869" t="s">
        <v>2196</v>
      </c>
      <c r="M2" s="789"/>
      <c r="N2" s="789"/>
      <c r="O2" s="1836"/>
      <c r="P2" s="1861" t="s">
        <v>2197</v>
      </c>
      <c r="Q2" s="1862"/>
      <c r="R2" s="1862"/>
      <c r="S2" s="1862"/>
      <c r="T2" s="1862"/>
      <c r="U2" s="1862"/>
      <c r="V2" s="1862"/>
      <c r="W2" s="1862"/>
      <c r="X2" s="1862"/>
      <c r="Y2" s="1862"/>
      <c r="Z2" s="1862"/>
    </row>
    <row r="3" spans="1:26" ht="30" customHeight="1" x14ac:dyDescent="0.25">
      <c r="A3" s="1882"/>
      <c r="B3" s="1884"/>
      <c r="C3" s="1886"/>
      <c r="D3" s="1887"/>
      <c r="E3" s="1838"/>
      <c r="F3" s="788" t="s">
        <v>2198</v>
      </c>
      <c r="G3" s="758">
        <v>5000</v>
      </c>
      <c r="H3" s="758">
        <f>G3-E2</f>
        <v>4941.2299999999996</v>
      </c>
      <c r="I3" s="758" t="s">
        <v>2199</v>
      </c>
      <c r="J3" s="759">
        <v>46215</v>
      </c>
      <c r="K3" s="760">
        <v>46813</v>
      </c>
      <c r="L3" s="1870"/>
      <c r="M3" s="789"/>
      <c r="N3" s="789"/>
      <c r="O3" s="1836"/>
      <c r="P3" s="1863"/>
      <c r="Q3" s="1862"/>
      <c r="R3" s="1862"/>
      <c r="S3" s="1862"/>
      <c r="T3" s="1862"/>
      <c r="U3" s="1862"/>
      <c r="V3" s="1862"/>
      <c r="W3" s="1862"/>
      <c r="X3" s="1862"/>
      <c r="Y3" s="1862"/>
      <c r="Z3" s="1862"/>
    </row>
    <row r="4" spans="1:26" ht="30" customHeight="1" x14ac:dyDescent="0.25">
      <c r="A4" s="1882"/>
      <c r="B4" s="1884"/>
      <c r="C4" s="1886"/>
      <c r="D4" s="1887"/>
      <c r="E4" s="1838"/>
      <c r="F4" s="788" t="s">
        <v>2200</v>
      </c>
      <c r="G4" s="759"/>
      <c r="H4" s="758"/>
      <c r="I4" s="1833"/>
      <c r="J4" s="1834"/>
      <c r="K4" s="1835"/>
      <c r="L4" s="1871"/>
      <c r="M4" s="789"/>
      <c r="N4" s="789"/>
      <c r="O4" s="1836"/>
      <c r="P4" s="1863"/>
      <c r="Q4" s="1862"/>
      <c r="R4" s="1862"/>
      <c r="S4" s="1862"/>
      <c r="T4" s="1862"/>
      <c r="U4" s="1862"/>
      <c r="V4" s="1862"/>
      <c r="W4" s="1862"/>
      <c r="X4" s="1862"/>
      <c r="Y4" s="1862"/>
      <c r="Z4" s="1862"/>
    </row>
    <row r="5" spans="1:26" ht="8.25" customHeight="1" x14ac:dyDescent="0.3">
      <c r="A5" s="1882"/>
      <c r="B5" s="1923"/>
      <c r="C5" s="1923"/>
      <c r="D5" s="1923"/>
      <c r="E5" s="1923"/>
      <c r="F5" s="1923"/>
      <c r="G5" s="1923"/>
      <c r="H5" s="1923"/>
      <c r="I5" s="1923"/>
      <c r="J5" s="1923"/>
      <c r="K5" s="1923"/>
      <c r="L5" s="1923"/>
      <c r="M5" s="1923"/>
      <c r="N5" s="1923"/>
      <c r="O5" s="1924"/>
    </row>
    <row r="6" spans="1:26" ht="30" customHeight="1" x14ac:dyDescent="0.25">
      <c r="A6" s="1882"/>
      <c r="B6" s="1884" t="s">
        <v>2201</v>
      </c>
      <c r="C6" s="1886" t="s">
        <v>688</v>
      </c>
      <c r="D6" s="1880" t="s">
        <v>130</v>
      </c>
      <c r="E6" s="1838">
        <v>37.9</v>
      </c>
      <c r="F6" s="788" t="s">
        <v>2193</v>
      </c>
      <c r="G6" s="758">
        <v>450</v>
      </c>
      <c r="H6" s="758">
        <f>G6-E6</f>
        <v>412.1</v>
      </c>
      <c r="I6" s="758" t="s">
        <v>2202</v>
      </c>
      <c r="J6" s="759">
        <v>46215</v>
      </c>
      <c r="K6" s="760">
        <v>47423</v>
      </c>
      <c r="L6" s="1872" t="s">
        <v>2203</v>
      </c>
      <c r="M6" s="789"/>
      <c r="N6" s="789"/>
      <c r="O6" s="1836"/>
      <c r="P6" s="1864" t="s">
        <v>2204</v>
      </c>
      <c r="Q6" s="1865"/>
      <c r="R6" s="1865"/>
      <c r="S6" s="1865"/>
      <c r="T6" s="1865"/>
      <c r="U6" s="1865"/>
      <c r="V6" s="1865"/>
      <c r="W6" s="1865"/>
      <c r="X6" s="1865"/>
      <c r="Y6" s="1865"/>
      <c r="Z6" s="1865"/>
    </row>
    <row r="7" spans="1:26" ht="30" customHeight="1" x14ac:dyDescent="0.25">
      <c r="A7" s="1882"/>
      <c r="B7" s="1884"/>
      <c r="C7" s="1886"/>
      <c r="D7" s="1880"/>
      <c r="E7" s="1838"/>
      <c r="F7" s="788" t="s">
        <v>2198</v>
      </c>
      <c r="G7" s="758">
        <v>5000</v>
      </c>
      <c r="H7" s="758">
        <f>G7-E6</f>
        <v>4962.1000000000004</v>
      </c>
      <c r="I7" s="758" t="s">
        <v>2205</v>
      </c>
      <c r="J7" s="759">
        <v>46215</v>
      </c>
      <c r="K7" s="760">
        <v>47423</v>
      </c>
      <c r="L7" s="1873"/>
      <c r="M7" s="789"/>
      <c r="N7" s="789"/>
      <c r="O7" s="1836"/>
      <c r="P7" s="1864"/>
      <c r="Q7" s="1865"/>
      <c r="R7" s="1865"/>
      <c r="S7" s="1865"/>
      <c r="T7" s="1865"/>
      <c r="U7" s="1865"/>
      <c r="V7" s="1865"/>
      <c r="W7" s="1865"/>
      <c r="X7" s="1865"/>
      <c r="Y7" s="1865"/>
      <c r="Z7" s="1865"/>
    </row>
    <row r="8" spans="1:26" ht="30" customHeight="1" x14ac:dyDescent="0.25">
      <c r="A8" s="1882"/>
      <c r="B8" s="1884"/>
      <c r="C8" s="1886"/>
      <c r="D8" s="1880"/>
      <c r="E8" s="1838"/>
      <c r="F8" s="788" t="s">
        <v>2200</v>
      </c>
      <c r="G8" s="759"/>
      <c r="H8" s="758"/>
      <c r="I8" s="1838"/>
      <c r="J8" s="1838"/>
      <c r="K8" s="1838"/>
      <c r="L8" s="1874"/>
      <c r="M8" s="789"/>
      <c r="N8" s="789"/>
      <c r="O8" s="1836"/>
      <c r="P8" s="1864"/>
      <c r="Q8" s="1865"/>
      <c r="R8" s="1865"/>
      <c r="S8" s="1865"/>
      <c r="T8" s="1865"/>
      <c r="U8" s="1865"/>
      <c r="V8" s="1865"/>
      <c r="W8" s="1865"/>
      <c r="X8" s="1865"/>
      <c r="Y8" s="1865"/>
      <c r="Z8" s="1865"/>
    </row>
    <row r="9" spans="1:26" ht="8.25" customHeight="1" x14ac:dyDescent="0.3">
      <c r="A9" s="1882"/>
      <c r="B9" s="1923"/>
      <c r="C9" s="1923"/>
      <c r="D9" s="1923"/>
      <c r="E9" s="1923"/>
      <c r="F9" s="1923"/>
      <c r="G9" s="1923"/>
      <c r="H9" s="1923"/>
      <c r="I9" s="1923"/>
      <c r="J9" s="1923"/>
      <c r="K9" s="1923"/>
      <c r="L9" s="1923"/>
      <c r="M9" s="1923"/>
      <c r="N9" s="1923"/>
      <c r="O9" s="1924"/>
    </row>
    <row r="10" spans="1:26" ht="30" customHeight="1" x14ac:dyDescent="0.25">
      <c r="A10" s="1882"/>
      <c r="B10" s="1884" t="s">
        <v>2206</v>
      </c>
      <c r="C10" s="1885" t="s">
        <v>682</v>
      </c>
      <c r="D10" s="1880" t="s">
        <v>130</v>
      </c>
      <c r="E10" s="1838">
        <v>3.91</v>
      </c>
      <c r="F10" s="788" t="s">
        <v>2193</v>
      </c>
      <c r="G10" s="758" t="s">
        <v>2207</v>
      </c>
      <c r="H10" s="758" t="e">
        <f>G10-E10</f>
        <v>#VALUE!</v>
      </c>
      <c r="I10" s="758" t="s">
        <v>2208</v>
      </c>
      <c r="J10" s="759">
        <v>46215</v>
      </c>
      <c r="K10" s="760">
        <v>48853</v>
      </c>
      <c r="L10" s="1869"/>
      <c r="M10" s="789"/>
      <c r="N10" s="789"/>
      <c r="O10" s="1837"/>
    </row>
    <row r="11" spans="1:26" ht="30" customHeight="1" x14ac:dyDescent="0.25">
      <c r="A11" s="1882"/>
      <c r="B11" s="1884"/>
      <c r="C11" s="1885"/>
      <c r="D11" s="1887"/>
      <c r="E11" s="1838"/>
      <c r="F11" s="788" t="s">
        <v>2198</v>
      </c>
      <c r="G11" s="758">
        <v>5000</v>
      </c>
      <c r="H11" s="758">
        <f>G11-E10</f>
        <v>4996.09</v>
      </c>
      <c r="I11" s="758" t="s">
        <v>2209</v>
      </c>
      <c r="J11" s="759">
        <v>46215</v>
      </c>
      <c r="K11" s="760">
        <v>48853</v>
      </c>
      <c r="L11" s="1870"/>
      <c r="M11" s="789"/>
      <c r="N11" s="789"/>
      <c r="O11" s="1837"/>
    </row>
    <row r="12" spans="1:26" ht="30" customHeight="1" x14ac:dyDescent="0.25">
      <c r="A12" s="1882"/>
      <c r="B12" s="1884"/>
      <c r="C12" s="1885"/>
      <c r="D12" s="1887"/>
      <c r="E12" s="1838"/>
      <c r="F12" s="788" t="s">
        <v>2200</v>
      </c>
      <c r="G12" s="759"/>
      <c r="H12" s="758"/>
      <c r="I12" s="1838"/>
      <c r="J12" s="1838"/>
      <c r="K12" s="1838"/>
      <c r="L12" s="1871"/>
      <c r="M12" s="789"/>
      <c r="N12" s="789"/>
      <c r="O12" s="1837"/>
    </row>
    <row r="13" spans="1:26" ht="8.25" customHeight="1" x14ac:dyDescent="0.25">
      <c r="A13" s="1882"/>
      <c r="B13" s="1925"/>
      <c r="C13" s="1925"/>
      <c r="D13" s="1925"/>
      <c r="E13" s="1925"/>
      <c r="F13" s="1925"/>
      <c r="G13" s="1925"/>
      <c r="H13" s="1925"/>
      <c r="I13" s="1925"/>
      <c r="J13" s="1925"/>
      <c r="K13" s="1925"/>
      <c r="L13" s="1925"/>
      <c r="M13" s="1925"/>
      <c r="N13" s="1925"/>
      <c r="O13" s="1926"/>
    </row>
    <row r="14" spans="1:26" ht="30" customHeight="1" x14ac:dyDescent="0.25">
      <c r="A14" s="1882"/>
      <c r="B14" s="1884" t="s">
        <v>2210</v>
      </c>
      <c r="C14" s="1885" t="s">
        <v>682</v>
      </c>
      <c r="D14" s="1880" t="s">
        <v>2211</v>
      </c>
      <c r="E14" s="1854">
        <v>13.79</v>
      </c>
      <c r="F14" s="790" t="s">
        <v>2193</v>
      </c>
      <c r="G14" s="798" t="s">
        <v>2212</v>
      </c>
      <c r="H14" s="758" t="e">
        <f>G14-E14</f>
        <v>#VALUE!</v>
      </c>
      <c r="I14" s="758" t="s">
        <v>2213</v>
      </c>
      <c r="J14" s="759">
        <v>46215</v>
      </c>
      <c r="K14" s="760">
        <v>47423</v>
      </c>
      <c r="L14" s="1836"/>
      <c r="M14" s="789"/>
      <c r="N14" s="789"/>
      <c r="O14" s="1837"/>
    </row>
    <row r="15" spans="1:26" ht="30" customHeight="1" x14ac:dyDescent="0.25">
      <c r="A15" s="1882"/>
      <c r="B15" s="1884"/>
      <c r="C15" s="1885"/>
      <c r="D15" s="1880"/>
      <c r="E15" s="1854"/>
      <c r="F15" s="790" t="s">
        <v>2198</v>
      </c>
      <c r="G15" s="758">
        <v>5000</v>
      </c>
      <c r="H15" s="758">
        <f>G15-E14</f>
        <v>4986.21</v>
      </c>
      <c r="I15" s="758" t="s">
        <v>2214</v>
      </c>
      <c r="J15" s="759">
        <v>46215</v>
      </c>
      <c r="K15" s="760">
        <v>47423</v>
      </c>
      <c r="L15" s="1836"/>
      <c r="M15" s="789"/>
      <c r="N15" s="789"/>
      <c r="O15" s="1837"/>
    </row>
    <row r="16" spans="1:26" ht="30" customHeight="1" x14ac:dyDescent="0.25">
      <c r="A16" s="1883"/>
      <c r="B16" s="1884"/>
      <c r="C16" s="1885"/>
      <c r="D16" s="1880"/>
      <c r="E16" s="1854"/>
      <c r="F16" s="790" t="s">
        <v>2200</v>
      </c>
      <c r="G16" s="803"/>
      <c r="H16" s="798"/>
      <c r="I16" s="1854"/>
      <c r="J16" s="1854"/>
      <c r="K16" s="1854"/>
      <c r="L16" s="1836"/>
      <c r="M16" s="789"/>
      <c r="N16" s="789"/>
      <c r="O16" s="1837"/>
    </row>
    <row r="17" spans="1:15" ht="8.25" customHeight="1" x14ac:dyDescent="0.3">
      <c r="A17" s="787"/>
      <c r="B17" s="799"/>
      <c r="C17" s="799"/>
      <c r="D17" s="799"/>
      <c r="E17" s="799"/>
      <c r="F17" s="799"/>
      <c r="G17" s="799"/>
      <c r="H17" s="799"/>
      <c r="I17" s="799"/>
      <c r="J17" s="799"/>
      <c r="K17" s="799"/>
      <c r="L17" s="799"/>
      <c r="M17" s="799"/>
      <c r="N17" s="799"/>
      <c r="O17" s="800"/>
    </row>
    <row r="18" spans="1:15" ht="30" customHeight="1" x14ac:dyDescent="0.25">
      <c r="A18" s="1881" t="s">
        <v>2215</v>
      </c>
      <c r="B18" s="1917" t="s">
        <v>2216</v>
      </c>
      <c r="C18" s="1903" t="s">
        <v>682</v>
      </c>
      <c r="D18" s="1858" t="s">
        <v>130</v>
      </c>
      <c r="E18" s="1928">
        <v>5700</v>
      </c>
      <c r="F18" s="788" t="s">
        <v>2193</v>
      </c>
      <c r="G18" s="758">
        <v>6040.1</v>
      </c>
      <c r="H18" s="758">
        <f>G18-E18</f>
        <v>340.10000000000036</v>
      </c>
      <c r="I18" s="758" t="s">
        <v>2217</v>
      </c>
      <c r="J18" s="759">
        <v>46215</v>
      </c>
      <c r="K18" s="760">
        <v>47027</v>
      </c>
      <c r="L18" s="1836"/>
      <c r="M18" s="1842"/>
      <c r="N18" s="789" t="s">
        <v>682</v>
      </c>
      <c r="O18" s="1877" t="s">
        <v>2218</v>
      </c>
    </row>
    <row r="19" spans="1:15" ht="30" customHeight="1" x14ac:dyDescent="0.25">
      <c r="A19" s="1882"/>
      <c r="B19" s="1918"/>
      <c r="C19" s="1904"/>
      <c r="D19" s="1859"/>
      <c r="E19" s="1929"/>
      <c r="F19" s="788" t="s">
        <v>2198</v>
      </c>
      <c r="G19" s="758">
        <v>8280.6</v>
      </c>
      <c r="H19" s="758">
        <f>G19-E18</f>
        <v>2580.6000000000004</v>
      </c>
      <c r="I19" s="758" t="s">
        <v>2219</v>
      </c>
      <c r="J19" s="759">
        <v>46215</v>
      </c>
      <c r="K19" s="760">
        <v>47027</v>
      </c>
      <c r="L19" s="1836"/>
      <c r="M19" s="1843"/>
      <c r="N19" s="789"/>
      <c r="O19" s="1878"/>
    </row>
    <row r="20" spans="1:15" ht="30" customHeight="1" x14ac:dyDescent="0.25">
      <c r="A20" s="1882"/>
      <c r="B20" s="1919"/>
      <c r="C20" s="1905"/>
      <c r="D20" s="1860"/>
      <c r="E20" s="1930"/>
      <c r="F20" s="788" t="s">
        <v>2200</v>
      </c>
      <c r="G20" s="759">
        <v>46335</v>
      </c>
      <c r="H20" s="758">
        <f ca="1">IF(TODAY()&lt;G20,DATEDIF(TODAY(),G20,"d"),-DATEDIF(G20,TODAY(),"d"))</f>
        <v>152</v>
      </c>
      <c r="I20" s="1833"/>
      <c r="J20" s="1834"/>
      <c r="K20" s="1835"/>
      <c r="L20" s="1836"/>
      <c r="M20" s="1844"/>
      <c r="N20" s="789"/>
      <c r="O20" s="1879"/>
    </row>
    <row r="21" spans="1:15" ht="8.25" customHeight="1" x14ac:dyDescent="0.3">
      <c r="A21" s="1882"/>
      <c r="B21" s="804"/>
      <c r="C21" s="804"/>
      <c r="D21" s="804"/>
      <c r="E21" s="804"/>
      <c r="F21" s="804"/>
      <c r="G21" s="804"/>
      <c r="H21" s="804"/>
      <c r="I21" s="804"/>
      <c r="J21" s="804"/>
      <c r="K21" s="804"/>
      <c r="L21" s="806"/>
      <c r="M21" s="804"/>
      <c r="N21" s="804"/>
      <c r="O21" s="805"/>
    </row>
    <row r="22" spans="1:15" ht="30" hidden="1" customHeight="1" x14ac:dyDescent="0.3">
      <c r="A22" s="1882"/>
      <c r="B22" s="1900" t="s">
        <v>2220</v>
      </c>
      <c r="C22" s="1855" t="s">
        <v>688</v>
      </c>
      <c r="D22" s="1855" t="s">
        <v>130</v>
      </c>
      <c r="E22" s="1855">
        <v>3046.4</v>
      </c>
      <c r="F22" s="801" t="s">
        <v>2193</v>
      </c>
      <c r="G22" s="801">
        <v>3320</v>
      </c>
      <c r="H22" s="801">
        <f>G22-E22</f>
        <v>273.59999999999991</v>
      </c>
      <c r="I22" s="1845" t="s">
        <v>2221</v>
      </c>
      <c r="J22" s="1846"/>
      <c r="K22" s="1847"/>
      <c r="L22" s="1866"/>
      <c r="M22" s="801"/>
      <c r="N22" s="791"/>
      <c r="O22" s="809" t="s">
        <v>2222</v>
      </c>
    </row>
    <row r="23" spans="1:15" ht="30" hidden="1" customHeight="1" x14ac:dyDescent="0.3">
      <c r="A23" s="1882"/>
      <c r="B23" s="1901"/>
      <c r="C23" s="1856"/>
      <c r="D23" s="1856"/>
      <c r="E23" s="1856"/>
      <c r="F23" s="801" t="s">
        <v>2198</v>
      </c>
      <c r="G23" s="801">
        <v>6145.2</v>
      </c>
      <c r="H23" s="801">
        <f>G23-E22</f>
        <v>3098.7999999999997</v>
      </c>
      <c r="I23" s="1848"/>
      <c r="J23" s="1849"/>
      <c r="K23" s="1850"/>
      <c r="L23" s="1867"/>
      <c r="M23" s="801"/>
      <c r="N23" s="791"/>
      <c r="O23" s="1875" t="s">
        <v>2223</v>
      </c>
    </row>
    <row r="24" spans="1:15" ht="30" hidden="1" customHeight="1" x14ac:dyDescent="0.3">
      <c r="A24" s="1882"/>
      <c r="B24" s="1902"/>
      <c r="C24" s="1857"/>
      <c r="D24" s="1857"/>
      <c r="E24" s="1857"/>
      <c r="F24" s="801" t="s">
        <v>2200</v>
      </c>
      <c r="G24" s="801">
        <v>46151</v>
      </c>
      <c r="H24" s="801">
        <f ca="1">IF(TODAY()&lt;G24,DATEDIF(TODAY(),G24,"d"),-DATEDIF(G24,TODAY(),"d"))</f>
        <v>-32</v>
      </c>
      <c r="I24" s="1851"/>
      <c r="J24" s="1852"/>
      <c r="K24" s="1853"/>
      <c r="L24" s="1868"/>
      <c r="M24" s="801"/>
      <c r="N24" s="791"/>
      <c r="O24" s="1876"/>
    </row>
    <row r="25" spans="1:15" ht="9" customHeight="1" x14ac:dyDescent="0.3">
      <c r="A25" s="1882"/>
      <c r="B25" s="1910"/>
      <c r="C25" s="1911"/>
      <c r="D25" s="1911"/>
      <c r="E25" s="1911"/>
      <c r="F25" s="1911"/>
      <c r="G25" s="1911"/>
      <c r="H25" s="1911"/>
      <c r="I25" s="1911"/>
      <c r="J25" s="1911"/>
      <c r="K25" s="1911"/>
      <c r="L25" s="1911"/>
      <c r="M25" s="1911"/>
      <c r="N25" s="1911"/>
      <c r="O25" s="1912"/>
    </row>
    <row r="26" spans="1:15" ht="30" customHeight="1" x14ac:dyDescent="0.25">
      <c r="A26" s="1882"/>
      <c r="B26" s="1907" t="s">
        <v>2224</v>
      </c>
      <c r="C26" s="1903" t="s">
        <v>682</v>
      </c>
      <c r="D26" s="1858"/>
      <c r="E26" s="1928">
        <v>8017.5</v>
      </c>
      <c r="F26" s="788" t="s">
        <v>2193</v>
      </c>
      <c r="G26" s="758">
        <v>8373.2000000000007</v>
      </c>
      <c r="H26" s="758">
        <f>G26-E26</f>
        <v>355.70000000000073</v>
      </c>
      <c r="I26" s="758" t="s">
        <v>2225</v>
      </c>
      <c r="J26" s="759">
        <v>45992</v>
      </c>
      <c r="K26" s="760">
        <v>46054</v>
      </c>
      <c r="L26" s="1836" t="s">
        <v>2226</v>
      </c>
      <c r="M26" s="1913">
        <v>40695</v>
      </c>
      <c r="N26" s="789" t="s">
        <v>4</v>
      </c>
      <c r="O26" s="1877" t="s">
        <v>2218</v>
      </c>
    </row>
    <row r="27" spans="1:15" ht="30" customHeight="1" x14ac:dyDescent="0.25">
      <c r="A27" s="1882"/>
      <c r="B27" s="1908"/>
      <c r="C27" s="1904"/>
      <c r="D27" s="1859"/>
      <c r="E27" s="1929"/>
      <c r="F27" s="788" t="s">
        <v>2198</v>
      </c>
      <c r="G27" s="758">
        <v>10670</v>
      </c>
      <c r="H27" s="758">
        <f>G27-E26</f>
        <v>2652.5</v>
      </c>
      <c r="I27" s="758" t="s">
        <v>2227</v>
      </c>
      <c r="J27" s="759">
        <v>45992</v>
      </c>
      <c r="K27" s="760">
        <v>48853</v>
      </c>
      <c r="L27" s="1836"/>
      <c r="M27" s="1914"/>
      <c r="N27" s="789"/>
      <c r="O27" s="1878"/>
    </row>
    <row r="28" spans="1:15" ht="30.75" customHeight="1" x14ac:dyDescent="0.25">
      <c r="A28" s="1882"/>
      <c r="B28" s="1920"/>
      <c r="C28" s="1905"/>
      <c r="D28" s="1860"/>
      <c r="E28" s="1930"/>
      <c r="F28" s="788" t="s">
        <v>2200</v>
      </c>
      <c r="G28" s="759">
        <v>46468</v>
      </c>
      <c r="H28" s="758">
        <f ca="1">IF(TODAY()&lt;G28,DATEDIF(TODAY(),G28,"d"),-DATEDIF(G28,TODAY(),"d"))</f>
        <v>285</v>
      </c>
      <c r="I28" s="1833"/>
      <c r="J28" s="1834"/>
      <c r="K28" s="1835"/>
      <c r="L28" s="1836"/>
      <c r="M28" s="1915"/>
      <c r="N28" s="789"/>
      <c r="O28" s="1879"/>
    </row>
    <row r="29" spans="1:15" ht="8.25" customHeight="1" x14ac:dyDescent="0.3">
      <c r="A29" s="1882"/>
      <c r="B29" s="804"/>
      <c r="C29" s="804"/>
      <c r="D29" s="804"/>
      <c r="E29" s="804"/>
      <c r="F29" s="804"/>
      <c r="G29" s="804"/>
      <c r="H29" s="804"/>
      <c r="I29" s="804"/>
      <c r="J29" s="804"/>
      <c r="K29" s="804"/>
      <c r="L29" s="804"/>
      <c r="M29" s="804"/>
      <c r="N29" s="804"/>
      <c r="O29" s="805"/>
    </row>
    <row r="30" spans="1:15" ht="30.75" customHeight="1" x14ac:dyDescent="0.25">
      <c r="A30" s="1882"/>
      <c r="B30" s="1907" t="s">
        <v>2228</v>
      </c>
      <c r="C30" s="1903" t="s">
        <v>682</v>
      </c>
      <c r="D30" s="1858" t="s">
        <v>130</v>
      </c>
      <c r="E30" s="810">
        <v>6070</v>
      </c>
      <c r="F30" s="790" t="s">
        <v>2193</v>
      </c>
      <c r="G30" s="798">
        <v>6231.2</v>
      </c>
      <c r="H30" s="758">
        <f>G30-E30</f>
        <v>161.19999999999982</v>
      </c>
      <c r="I30" s="758" t="s">
        <v>2229</v>
      </c>
      <c r="J30" s="759">
        <v>46215</v>
      </c>
      <c r="K30" s="760">
        <v>47027</v>
      </c>
      <c r="L30" s="1932" t="s">
        <v>2230</v>
      </c>
      <c r="M30" s="1913">
        <v>40695</v>
      </c>
      <c r="N30" s="789" t="s">
        <v>2186</v>
      </c>
      <c r="O30" s="1877" t="s">
        <v>2218</v>
      </c>
    </row>
    <row r="31" spans="1:15" ht="30.75" customHeight="1" x14ac:dyDescent="0.25">
      <c r="A31" s="1882"/>
      <c r="B31" s="1908"/>
      <c r="C31" s="1904"/>
      <c r="D31" s="1859"/>
      <c r="E31" s="807"/>
      <c r="F31" s="790" t="s">
        <v>2198</v>
      </c>
      <c r="G31" s="798">
        <v>9259</v>
      </c>
      <c r="H31" s="798">
        <v>4799.5</v>
      </c>
      <c r="I31" s="758" t="s">
        <v>2231</v>
      </c>
      <c r="J31" s="759">
        <v>46215</v>
      </c>
      <c r="K31" s="760">
        <v>47027</v>
      </c>
      <c r="L31" s="1836"/>
      <c r="M31" s="1914"/>
      <c r="N31" s="789"/>
      <c r="O31" s="1878"/>
    </row>
    <row r="32" spans="1:15" ht="30" customHeight="1" thickBot="1" x14ac:dyDescent="0.3">
      <c r="A32" s="1883"/>
      <c r="B32" s="1909"/>
      <c r="C32" s="1906"/>
      <c r="D32" s="1931"/>
      <c r="E32" s="808"/>
      <c r="F32" s="792" t="s">
        <v>2200</v>
      </c>
      <c r="G32" s="793">
        <v>47158</v>
      </c>
      <c r="H32" s="802">
        <f ca="1">IF(TODAY()&lt;G32,DATEDIF(TODAY(),G32,"d"),-DATEDIF(G32,TODAY(),"d"))</f>
        <v>975</v>
      </c>
      <c r="I32" s="1839"/>
      <c r="J32" s="1840"/>
      <c r="K32" s="1841"/>
      <c r="L32" s="1836"/>
      <c r="M32" s="1916"/>
      <c r="N32" s="794"/>
      <c r="O32" s="1879"/>
    </row>
    <row r="37" spans="4:15" ht="13.5" thickBot="1" x14ac:dyDescent="0.25"/>
    <row r="38" spans="4:15" ht="24" thickBot="1" x14ac:dyDescent="0.25">
      <c r="I38" s="776" t="s">
        <v>1102</v>
      </c>
      <c r="J38" s="777" t="s">
        <v>2232</v>
      </c>
      <c r="K38" s="777" t="s">
        <v>2233</v>
      </c>
      <c r="L38" s="778" t="s">
        <v>2234</v>
      </c>
      <c r="M38" s="779"/>
      <c r="N38" s="779"/>
      <c r="O38" s="780" t="s">
        <v>2235</v>
      </c>
    </row>
    <row r="39" spans="4:15" ht="16.5" thickTop="1" thickBot="1" x14ac:dyDescent="0.3">
      <c r="I39" s="763"/>
      <c r="J39" s="764"/>
      <c r="K39" s="764"/>
      <c r="L39" s="764"/>
      <c r="M39" s="765"/>
      <c r="N39" s="765"/>
      <c r="O39" s="766"/>
    </row>
    <row r="40" spans="4:15" ht="19.5" thickTop="1" x14ac:dyDescent="0.2">
      <c r="I40" s="767" t="s">
        <v>2236</v>
      </c>
      <c r="J40" s="759">
        <v>45983</v>
      </c>
      <c r="K40" s="760">
        <v>47027</v>
      </c>
      <c r="L40" s="1838" t="s">
        <v>2237</v>
      </c>
      <c r="M40" s="30"/>
      <c r="N40" s="30"/>
      <c r="O40" s="768" t="s">
        <v>2238</v>
      </c>
    </row>
    <row r="41" spans="4:15" ht="19.5" thickBot="1" x14ac:dyDescent="0.25">
      <c r="I41" s="767" t="s">
        <v>2239</v>
      </c>
      <c r="J41" s="759">
        <v>45983</v>
      </c>
      <c r="K41" s="760">
        <v>47027</v>
      </c>
      <c r="L41" s="1838"/>
      <c r="M41" s="30"/>
      <c r="N41" s="30"/>
      <c r="O41" s="768" t="s">
        <v>2240</v>
      </c>
    </row>
    <row r="42" spans="4:15" ht="21" thickTop="1" thickBot="1" x14ac:dyDescent="0.3">
      <c r="E42" s="282"/>
      <c r="I42" s="769"/>
      <c r="J42" s="770"/>
      <c r="K42" s="770"/>
      <c r="L42" s="764"/>
      <c r="M42" s="765"/>
      <c r="N42" s="765"/>
      <c r="O42" s="795"/>
    </row>
    <row r="43" spans="4:15" ht="19.5" thickTop="1" x14ac:dyDescent="0.2">
      <c r="I43" s="767" t="s">
        <v>2241</v>
      </c>
      <c r="J43" s="759">
        <v>45992</v>
      </c>
      <c r="K43" s="760">
        <v>46054</v>
      </c>
      <c r="L43" s="1838" t="s">
        <v>2242</v>
      </c>
      <c r="M43" s="30"/>
      <c r="N43" s="30"/>
      <c r="O43" s="768" t="s">
        <v>2243</v>
      </c>
    </row>
    <row r="44" spans="4:15" ht="19.5" thickBot="1" x14ac:dyDescent="0.25">
      <c r="I44" s="767" t="s">
        <v>2244</v>
      </c>
      <c r="J44" s="759">
        <v>45992</v>
      </c>
      <c r="K44" s="760">
        <v>48853</v>
      </c>
      <c r="L44" s="1838"/>
      <c r="M44" s="30"/>
      <c r="N44" s="30"/>
      <c r="O44" s="768" t="s">
        <v>2245</v>
      </c>
    </row>
    <row r="45" spans="4:15" ht="21" thickTop="1" thickBot="1" x14ac:dyDescent="0.3">
      <c r="D45" s="185"/>
      <c r="I45" s="769"/>
      <c r="J45" s="770"/>
      <c r="K45" s="770"/>
      <c r="L45" s="764"/>
      <c r="M45" s="765"/>
      <c r="N45" s="765"/>
      <c r="O45" s="795"/>
    </row>
    <row r="46" spans="4:15" ht="19.5" thickTop="1" x14ac:dyDescent="0.2">
      <c r="I46" s="767" t="s">
        <v>2246</v>
      </c>
      <c r="J46" s="759">
        <v>45983</v>
      </c>
      <c r="K46" s="760">
        <v>47027</v>
      </c>
      <c r="L46" s="1838" t="s">
        <v>2247</v>
      </c>
      <c r="M46" s="30"/>
      <c r="N46" s="30"/>
      <c r="O46" s="768" t="s">
        <v>2248</v>
      </c>
    </row>
    <row r="47" spans="4:15" ht="19.5" thickBot="1" x14ac:dyDescent="0.25">
      <c r="I47" s="767" t="s">
        <v>2249</v>
      </c>
      <c r="J47" s="759">
        <v>45983</v>
      </c>
      <c r="K47" s="760">
        <v>47027</v>
      </c>
      <c r="L47" s="1838"/>
      <c r="M47" s="30"/>
      <c r="N47" s="30"/>
      <c r="O47" s="768" t="s">
        <v>2250</v>
      </c>
    </row>
    <row r="48" spans="4:15" ht="21" thickTop="1" thickBot="1" x14ac:dyDescent="0.3">
      <c r="I48" s="769"/>
      <c r="J48" s="770"/>
      <c r="K48" s="770"/>
      <c r="L48" s="764"/>
      <c r="M48" s="765"/>
      <c r="N48" s="765"/>
      <c r="O48" s="795"/>
    </row>
    <row r="49" spans="9:15" ht="19.5" thickTop="1" x14ac:dyDescent="0.2">
      <c r="I49" s="767" t="s">
        <v>2251</v>
      </c>
      <c r="J49" s="759">
        <v>45992</v>
      </c>
      <c r="K49" s="762">
        <v>45744</v>
      </c>
      <c r="L49" s="1921" t="s">
        <v>2252</v>
      </c>
      <c r="M49" s="761"/>
      <c r="N49" s="30"/>
      <c r="O49" s="796" t="s">
        <v>2253</v>
      </c>
    </row>
    <row r="50" spans="9:15" ht="19.5" thickBot="1" x14ac:dyDescent="0.25">
      <c r="I50" s="767" t="s">
        <v>2254</v>
      </c>
      <c r="J50" s="759">
        <v>45992</v>
      </c>
      <c r="K50" s="762">
        <v>45744</v>
      </c>
      <c r="L50" s="1927"/>
      <c r="M50" s="761"/>
      <c r="N50" s="30"/>
      <c r="O50" s="796" t="s">
        <v>2255</v>
      </c>
    </row>
    <row r="51" spans="9:15" ht="21" thickTop="1" thickBot="1" x14ac:dyDescent="0.3">
      <c r="I51" s="769"/>
      <c r="J51" s="770"/>
      <c r="K51" s="770"/>
      <c r="L51" s="764"/>
      <c r="M51" s="765"/>
      <c r="N51" s="765"/>
      <c r="O51" s="795"/>
    </row>
    <row r="52" spans="9:15" ht="19.5" thickTop="1" x14ac:dyDescent="0.2">
      <c r="I52" s="767" t="s">
        <v>2256</v>
      </c>
      <c r="J52" s="759">
        <v>45992</v>
      </c>
      <c r="K52" s="760">
        <v>47423</v>
      </c>
      <c r="L52" s="1838" t="s">
        <v>2257</v>
      </c>
      <c r="M52" s="30"/>
      <c r="N52" s="30"/>
      <c r="O52" s="768" t="s">
        <v>2258</v>
      </c>
    </row>
    <row r="53" spans="9:15" ht="19.5" thickBot="1" x14ac:dyDescent="0.25">
      <c r="I53" s="767" t="s">
        <v>2259</v>
      </c>
      <c r="J53" s="759">
        <v>45992</v>
      </c>
      <c r="K53" s="760">
        <v>47423</v>
      </c>
      <c r="L53" s="1838"/>
      <c r="M53" s="30"/>
      <c r="N53" s="30"/>
      <c r="O53" s="768" t="s">
        <v>2260</v>
      </c>
    </row>
    <row r="54" spans="9:15" ht="21" thickTop="1" thickBot="1" x14ac:dyDescent="0.3">
      <c r="I54" s="769"/>
      <c r="J54" s="770"/>
      <c r="K54" s="770"/>
      <c r="L54" s="764"/>
      <c r="M54" s="765"/>
      <c r="N54" s="765"/>
      <c r="O54" s="795"/>
    </row>
    <row r="55" spans="9:15" ht="19.5" thickTop="1" x14ac:dyDescent="0.2">
      <c r="I55" s="767" t="s">
        <v>2261</v>
      </c>
      <c r="J55" s="759">
        <v>45992</v>
      </c>
      <c r="K55" s="760">
        <v>48853</v>
      </c>
      <c r="L55" s="1838" t="s">
        <v>2262</v>
      </c>
      <c r="M55" s="30"/>
      <c r="N55" s="30"/>
      <c r="O55" s="768" t="s">
        <v>2263</v>
      </c>
    </row>
    <row r="56" spans="9:15" ht="19.5" thickBot="1" x14ac:dyDescent="0.25">
      <c r="I56" s="767" t="s">
        <v>2264</v>
      </c>
      <c r="J56" s="759">
        <v>45992</v>
      </c>
      <c r="K56" s="760">
        <v>48853</v>
      </c>
      <c r="L56" s="1838"/>
      <c r="M56" s="30"/>
      <c r="N56" s="30"/>
      <c r="O56" s="797" t="s">
        <v>2265</v>
      </c>
    </row>
    <row r="57" spans="9:15" ht="21" thickTop="1" thickBot="1" x14ac:dyDescent="0.3">
      <c r="I57" s="769"/>
      <c r="J57" s="770"/>
      <c r="K57" s="770"/>
      <c r="L57" s="764"/>
      <c r="M57" s="765"/>
      <c r="N57" s="765"/>
      <c r="O57" s="795"/>
    </row>
    <row r="58" spans="9:15" ht="19.5" thickTop="1" x14ac:dyDescent="0.2">
      <c r="I58" s="767" t="s">
        <v>2266</v>
      </c>
      <c r="J58" s="759">
        <v>45983</v>
      </c>
      <c r="K58" s="760">
        <v>47423</v>
      </c>
      <c r="L58" s="1921" t="s">
        <v>2267</v>
      </c>
      <c r="M58" s="30"/>
      <c r="N58" s="30"/>
      <c r="O58" s="768" t="s">
        <v>2268</v>
      </c>
    </row>
    <row r="59" spans="9:15" ht="19.5" thickBot="1" x14ac:dyDescent="0.25">
      <c r="I59" s="771" t="s">
        <v>2269</v>
      </c>
      <c r="J59" s="772">
        <v>45983</v>
      </c>
      <c r="K59" s="773">
        <v>47423</v>
      </c>
      <c r="L59" s="1922"/>
      <c r="M59" s="774"/>
      <c r="N59" s="774"/>
      <c r="O59" s="775" t="s">
        <v>2270</v>
      </c>
    </row>
    <row r="98" spans="2:6" x14ac:dyDescent="0.2">
      <c r="B98" s="1897" t="s">
        <v>2271</v>
      </c>
      <c r="C98" s="1898"/>
      <c r="D98" s="1898"/>
      <c r="E98" s="1898"/>
      <c r="F98" s="1899"/>
    </row>
    <row r="99" spans="2:6" x14ac:dyDescent="0.2">
      <c r="B99" s="1894" t="s">
        <v>2272</v>
      </c>
      <c r="C99" s="1895"/>
      <c r="D99" s="1895"/>
      <c r="E99" s="1895"/>
      <c r="F99" s="1896"/>
    </row>
    <row r="100" spans="2:6" x14ac:dyDescent="0.2">
      <c r="B100" s="1891" t="s">
        <v>2273</v>
      </c>
      <c r="C100" s="1892"/>
      <c r="D100" s="1892"/>
      <c r="E100" s="1892"/>
      <c r="F100" s="1893"/>
    </row>
    <row r="101" spans="2:6" x14ac:dyDescent="0.2">
      <c r="B101" s="1891" t="s">
        <v>2274</v>
      </c>
      <c r="C101" s="1892"/>
      <c r="D101" s="1892"/>
      <c r="E101" s="1892"/>
      <c r="F101" s="1893"/>
    </row>
    <row r="102" spans="2:6" x14ac:dyDescent="0.2">
      <c r="B102" s="1888" t="s">
        <v>2275</v>
      </c>
      <c r="C102" s="1889"/>
      <c r="D102" s="1889"/>
      <c r="E102" s="1889"/>
      <c r="F102" s="1890"/>
    </row>
    <row r="113" spans="2:12" ht="64.5" x14ac:dyDescent="0.25">
      <c r="B113" s="299" t="s">
        <v>2276</v>
      </c>
      <c r="L113" s="186" t="s">
        <v>2277</v>
      </c>
    </row>
    <row r="114" spans="2:12" x14ac:dyDescent="0.2">
      <c r="H114" s="283" t="s">
        <v>2278</v>
      </c>
      <c r="I114" s="283"/>
      <c r="J114" s="283"/>
      <c r="K114" s="283"/>
    </row>
    <row r="115" spans="2:12" x14ac:dyDescent="0.2">
      <c r="H115" s="284">
        <f ca="1">TODAY()</f>
        <v>46183</v>
      </c>
      <c r="I115" s="284"/>
      <c r="J115" s="284"/>
      <c r="K115" s="284"/>
      <c r="L115" t="s">
        <v>2279</v>
      </c>
    </row>
    <row r="118" spans="2:12" x14ac:dyDescent="0.2">
      <c r="G118" s="757" t="s">
        <v>2280</v>
      </c>
    </row>
  </sheetData>
  <dataConsolidate/>
  <mergeCells count="78">
    <mergeCell ref="L52:L53"/>
    <mergeCell ref="L58:L59"/>
    <mergeCell ref="L46:L47"/>
    <mergeCell ref="B5:O5"/>
    <mergeCell ref="B9:O9"/>
    <mergeCell ref="B13:O13"/>
    <mergeCell ref="B10:B12"/>
    <mergeCell ref="L55:L56"/>
    <mergeCell ref="L40:L41"/>
    <mergeCell ref="L43:L44"/>
    <mergeCell ref="L49:L50"/>
    <mergeCell ref="E18:E20"/>
    <mergeCell ref="E26:E28"/>
    <mergeCell ref="D30:D32"/>
    <mergeCell ref="L30:L32"/>
    <mergeCell ref="D26:D28"/>
    <mergeCell ref="A18:A32"/>
    <mergeCell ref="B22:B24"/>
    <mergeCell ref="C18:C20"/>
    <mergeCell ref="C30:C32"/>
    <mergeCell ref="C26:C28"/>
    <mergeCell ref="B30:B32"/>
    <mergeCell ref="B25:O25"/>
    <mergeCell ref="O30:O32"/>
    <mergeCell ref="O26:O28"/>
    <mergeCell ref="M26:M28"/>
    <mergeCell ref="M30:M32"/>
    <mergeCell ref="I20:K20"/>
    <mergeCell ref="B18:B20"/>
    <mergeCell ref="B26:B28"/>
    <mergeCell ref="C22:C24"/>
    <mergeCell ref="D22:D24"/>
    <mergeCell ref="B102:F102"/>
    <mergeCell ref="B100:F100"/>
    <mergeCell ref="B101:F101"/>
    <mergeCell ref="B99:F99"/>
    <mergeCell ref="B98:F98"/>
    <mergeCell ref="A1:A16"/>
    <mergeCell ref="B6:B8"/>
    <mergeCell ref="E6:E8"/>
    <mergeCell ref="C10:C12"/>
    <mergeCell ref="C14:C16"/>
    <mergeCell ref="E14:E16"/>
    <mergeCell ref="C6:C8"/>
    <mergeCell ref="D10:D12"/>
    <mergeCell ref="B2:B4"/>
    <mergeCell ref="B14:B16"/>
    <mergeCell ref="C2:C4"/>
    <mergeCell ref="D14:D16"/>
    <mergeCell ref="D2:D4"/>
    <mergeCell ref="E2:E4"/>
    <mergeCell ref="E22:E24"/>
    <mergeCell ref="D18:D20"/>
    <mergeCell ref="L26:L28"/>
    <mergeCell ref="O14:O16"/>
    <mergeCell ref="P2:Z4"/>
    <mergeCell ref="P6:Z8"/>
    <mergeCell ref="L22:L24"/>
    <mergeCell ref="L18:L20"/>
    <mergeCell ref="L14:L16"/>
    <mergeCell ref="L2:L4"/>
    <mergeCell ref="L6:L8"/>
    <mergeCell ref="O23:O24"/>
    <mergeCell ref="O18:O20"/>
    <mergeCell ref="E10:E12"/>
    <mergeCell ref="L10:L12"/>
    <mergeCell ref="D6:D8"/>
    <mergeCell ref="I32:K32"/>
    <mergeCell ref="I28:K28"/>
    <mergeCell ref="M18:M20"/>
    <mergeCell ref="I22:K24"/>
    <mergeCell ref="I16:K16"/>
    <mergeCell ref="I4:K4"/>
    <mergeCell ref="O2:O4"/>
    <mergeCell ref="O6:O8"/>
    <mergeCell ref="O10:O12"/>
    <mergeCell ref="I8:K8"/>
    <mergeCell ref="I12:K12"/>
  </mergeCells>
  <conditionalFormatting sqref="H32 H28 H20 H24">
    <cfRule type="cellIs" dxfId="77" priority="70" stopIfTrue="1" operator="between">
      <formula>#REF!</formula>
      <formula>#REF!</formula>
    </cfRule>
    <cfRule type="cellIs" dxfId="76" priority="71" stopIfTrue="1" operator="lessThan">
      <formula>#REF!</formula>
    </cfRule>
    <cfRule type="containsErrors" dxfId="75" priority="79" stopIfTrue="1">
      <formula>ISERROR(H20)</formula>
    </cfRule>
  </conditionalFormatting>
  <conditionalFormatting sqref="H30:H31 H26:H27 H14:H15 H2:I3 H18:I19 K3">
    <cfRule type="cellIs" dxfId="74" priority="62" stopIfTrue="1" operator="lessThan">
      <formula>#REF!</formula>
    </cfRule>
  </conditionalFormatting>
  <conditionalFormatting sqref="H22:H23">
    <cfRule type="cellIs" dxfId="73" priority="56" stopIfTrue="1" operator="lessThan">
      <formula>#REF!</formula>
    </cfRule>
  </conditionalFormatting>
  <conditionalFormatting sqref="H10:H11">
    <cfRule type="cellIs" dxfId="72" priority="48" stopIfTrue="1" operator="lessThan">
      <formula>#REF!</formula>
    </cfRule>
  </conditionalFormatting>
  <conditionalFormatting sqref="H6:I7">
    <cfRule type="cellIs" dxfId="71" priority="47" stopIfTrue="1" operator="lessThan">
      <formula>#REF!</formula>
    </cfRule>
  </conditionalFormatting>
  <conditionalFormatting sqref="I10:I11 K10:K11">
    <cfRule type="cellIs" dxfId="70" priority="20" stopIfTrue="1" operator="lessThan">
      <formula>#REF!</formula>
    </cfRule>
  </conditionalFormatting>
  <conditionalFormatting sqref="I14:I15">
    <cfRule type="cellIs" dxfId="69" priority="19" stopIfTrue="1" operator="lessThan">
      <formula>#REF!</formula>
    </cfRule>
  </conditionalFormatting>
  <conditionalFormatting sqref="K7">
    <cfRule type="cellIs" dxfId="68" priority="15" stopIfTrue="1" operator="lessThan">
      <formula>#REF!</formula>
    </cfRule>
  </conditionalFormatting>
  <conditionalFormatting sqref="I22">
    <cfRule type="cellIs" dxfId="67" priority="14" stopIfTrue="1" operator="lessThan">
      <formula>#REF!</formula>
    </cfRule>
  </conditionalFormatting>
  <conditionalFormatting sqref="I26:J27">
    <cfRule type="cellIs" dxfId="66" priority="13" stopIfTrue="1" operator="lessThan">
      <formula>#REF!</formula>
    </cfRule>
  </conditionalFormatting>
  <conditionalFormatting sqref="I30:I31">
    <cfRule type="cellIs" dxfId="65" priority="12" stopIfTrue="1" operator="lessThan">
      <formula>#REF!</formula>
    </cfRule>
  </conditionalFormatting>
  <conditionalFormatting sqref="C2:C4 C6:C8 C10:C12 C18:C20 C22:C24 C26:C28 C30:C32 C14:C16">
    <cfRule type="cellIs" dxfId="64" priority="1" stopIfTrue="1" operator="equal">
      <formula>"Unserviceable"</formula>
    </cfRule>
    <cfRule type="cellIs" dxfId="63" priority="2" stopIfTrue="1" operator="equal">
      <formula>"Inspection"</formula>
    </cfRule>
    <cfRule type="cellIs" dxfId="62" priority="3" stopIfTrue="1" operator="equal">
      <formula>"Deployed"</formula>
    </cfRule>
    <cfRule type="cellIs" dxfId="61" priority="4" stopIfTrue="1" operator="equal">
      <formula>"S"</formula>
    </cfRule>
    <cfRule type="cellIs" dxfId="60" priority="5" stopIfTrue="1" operator="equal">
      <formula>"U/S"</formula>
    </cfRule>
  </conditionalFormatting>
  <dataValidations count="1">
    <dataValidation type="list" allowBlank="1" showInputMessage="1" showErrorMessage="1" sqref="C2:C4 C6:C8 C10:C12 C22:C24 C30:C32 C26:C28 C18:C20 C14:C16" xr:uid="{02FAA329-782C-4B3E-8E4C-5AE32373ABFA}">
      <formula1>"S,U/S,Deployed,Inspection, Unserviceable"</formula1>
    </dataValidation>
  </dataValidations>
  <hyperlinks>
    <hyperlink ref="G118" r:id="rId1" display="\\RES-TTN-PVCMMN2\BASEWIDE\8 AMS\8 AMS Confined Space\AECMS PLATE\AECMS Equipment.xlsx" xr:uid="{320418F0-E224-472C-B313-A6F6026788DC}"/>
  </hyperlinks>
  <pageMargins left="0.7" right="0.7" top="0.75" bottom="0.75" header="0.3" footer="0.3"/>
  <pageSetup paperSize="5" scale="24" orientation="landscape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E9BF4-53E3-4C76-8127-BC0974FFA75A}">
  <sheetPr codeName="Sheet21"/>
  <dimension ref="A1:S37"/>
  <sheetViews>
    <sheetView workbookViewId="0">
      <selection activeCell="T4" sqref="T4"/>
    </sheetView>
  </sheetViews>
  <sheetFormatPr defaultRowHeight="12.75" x14ac:dyDescent="0.2"/>
  <cols>
    <col min="1" max="1" width="21.28515625" customWidth="1"/>
    <col min="2" max="2" width="13.5703125" customWidth="1"/>
    <col min="3" max="3" width="14" customWidth="1"/>
    <col min="10" max="10" width="19.5703125" customWidth="1"/>
    <col min="11" max="11" width="24.42578125" customWidth="1"/>
    <col min="12" max="12" width="49.28515625" customWidth="1"/>
    <col min="13" max="13" width="16.5703125" customWidth="1"/>
    <col min="14" max="14" width="19.7109375" customWidth="1"/>
    <col min="15" max="15" width="17.5703125" customWidth="1"/>
    <col min="19" max="19" width="17.5703125" customWidth="1"/>
  </cols>
  <sheetData>
    <row r="1" spans="1:19" ht="14.25" customHeight="1" x14ac:dyDescent="0.2"/>
    <row r="2" spans="1:19" ht="20.25" customHeight="1" x14ac:dyDescent="0.2">
      <c r="B2" s="1939" t="s">
        <v>6</v>
      </c>
      <c r="C2" s="1940"/>
      <c r="D2" s="1944" t="s">
        <v>7</v>
      </c>
      <c r="E2" s="1945"/>
      <c r="F2" s="1945"/>
      <c r="G2" s="1945"/>
      <c r="H2" s="1945"/>
      <c r="I2" s="1946"/>
      <c r="J2" s="967" t="s">
        <v>8</v>
      </c>
      <c r="K2" s="439" t="s">
        <v>17</v>
      </c>
      <c r="L2" s="440" t="s">
        <v>14</v>
      </c>
      <c r="M2" s="457" t="s">
        <v>635</v>
      </c>
      <c r="N2" s="356" t="s">
        <v>15</v>
      </c>
      <c r="O2" s="438" t="s">
        <v>18</v>
      </c>
    </row>
    <row r="3" spans="1:19" ht="12.75" customHeight="1" x14ac:dyDescent="0.2">
      <c r="A3" s="962" t="s">
        <v>2281</v>
      </c>
      <c r="O3" s="1950" t="s">
        <v>24</v>
      </c>
    </row>
    <row r="4" spans="1:19" ht="21" x14ac:dyDescent="0.2">
      <c r="B4" s="964" t="s">
        <v>2282</v>
      </c>
      <c r="D4" s="1936" t="s">
        <v>2283</v>
      </c>
      <c r="E4" s="1937"/>
      <c r="F4" s="1937"/>
      <c r="G4" s="1937"/>
      <c r="H4" s="1937"/>
      <c r="I4" s="1938"/>
      <c r="J4" s="865" t="s">
        <v>2284</v>
      </c>
      <c r="K4" s="968" t="s">
        <v>23</v>
      </c>
      <c r="L4" s="963"/>
      <c r="M4" s="969">
        <v>46056</v>
      </c>
      <c r="N4" s="964" t="s">
        <v>214</v>
      </c>
      <c r="O4" s="1950"/>
    </row>
    <row r="5" spans="1:19" ht="21" x14ac:dyDescent="0.2">
      <c r="C5" s="965" t="s">
        <v>2285</v>
      </c>
      <c r="D5" s="1933" t="s">
        <v>2286</v>
      </c>
      <c r="E5" s="1934"/>
      <c r="F5" s="1934"/>
      <c r="G5" s="1934"/>
      <c r="H5" s="1934"/>
      <c r="I5" s="1935"/>
      <c r="J5" s="865" t="s">
        <v>2284</v>
      </c>
      <c r="K5" s="968" t="s">
        <v>23</v>
      </c>
      <c r="L5" s="963"/>
      <c r="M5" s="969">
        <v>46056</v>
      </c>
      <c r="N5" s="964" t="s">
        <v>214</v>
      </c>
      <c r="O5" s="1951"/>
      <c r="R5" s="1356"/>
      <c r="S5" t="s">
        <v>2287</v>
      </c>
    </row>
    <row r="6" spans="1:19" ht="21" x14ac:dyDescent="0.2">
      <c r="C6" s="965" t="s">
        <v>2288</v>
      </c>
      <c r="D6" s="1933" t="s">
        <v>2289</v>
      </c>
      <c r="E6" s="1934"/>
      <c r="F6" s="1934"/>
      <c r="G6" s="1934"/>
      <c r="H6" s="1934"/>
      <c r="I6" s="1935"/>
      <c r="J6" s="865" t="s">
        <v>2284</v>
      </c>
      <c r="K6" s="968" t="s">
        <v>23</v>
      </c>
      <c r="L6" s="963"/>
      <c r="M6" s="969">
        <v>46056</v>
      </c>
      <c r="N6" s="964" t="s">
        <v>214</v>
      </c>
      <c r="O6" s="1951"/>
    </row>
    <row r="7" spans="1:19" ht="21" x14ac:dyDescent="0.2">
      <c r="C7" s="965" t="s">
        <v>2290</v>
      </c>
      <c r="D7" s="1933" t="s">
        <v>2289</v>
      </c>
      <c r="E7" s="1934"/>
      <c r="F7" s="1934"/>
      <c r="G7" s="1934"/>
      <c r="H7" s="1934"/>
      <c r="I7" s="1935"/>
      <c r="J7" s="865" t="s">
        <v>2284</v>
      </c>
      <c r="K7" s="968" t="s">
        <v>23</v>
      </c>
      <c r="L7" s="963"/>
      <c r="M7" s="969">
        <v>46056</v>
      </c>
      <c r="N7" s="964" t="s">
        <v>214</v>
      </c>
      <c r="O7" s="1951" t="s">
        <v>53</v>
      </c>
    </row>
    <row r="8" spans="1:19" ht="21" x14ac:dyDescent="0.2">
      <c r="C8" s="965" t="s">
        <v>2291</v>
      </c>
      <c r="D8" s="1933" t="s">
        <v>2292</v>
      </c>
      <c r="E8" s="1934"/>
      <c r="F8" s="1934"/>
      <c r="G8" s="1934"/>
      <c r="H8" s="1934"/>
      <c r="I8" s="1935"/>
      <c r="J8" s="865" t="s">
        <v>2284</v>
      </c>
      <c r="K8" s="968" t="s">
        <v>23</v>
      </c>
      <c r="L8" s="963"/>
      <c r="M8" s="969">
        <v>46056</v>
      </c>
      <c r="N8" s="964" t="s">
        <v>214</v>
      </c>
      <c r="O8" s="1951"/>
    </row>
    <row r="9" spans="1:19" ht="21" x14ac:dyDescent="0.2">
      <c r="C9" s="965" t="s">
        <v>2293</v>
      </c>
      <c r="D9" s="1933" t="s">
        <v>2292</v>
      </c>
      <c r="E9" s="1934"/>
      <c r="F9" s="1934"/>
      <c r="G9" s="1934"/>
      <c r="H9" s="1934"/>
      <c r="I9" s="1935"/>
      <c r="J9" s="865" t="s">
        <v>2284</v>
      </c>
      <c r="K9" s="968" t="s">
        <v>23</v>
      </c>
      <c r="L9" s="963"/>
      <c r="M9" s="969">
        <v>46056</v>
      </c>
      <c r="N9" s="964" t="s">
        <v>214</v>
      </c>
      <c r="O9" s="1951"/>
    </row>
    <row r="10" spans="1:19" ht="21" x14ac:dyDescent="0.2">
      <c r="C10" s="965" t="s">
        <v>2294</v>
      </c>
      <c r="D10" s="1933" t="s">
        <v>2295</v>
      </c>
      <c r="E10" s="1934"/>
      <c r="F10" s="1934"/>
      <c r="G10" s="1934"/>
      <c r="H10" s="1934"/>
      <c r="I10" s="1935"/>
      <c r="J10" s="865" t="s">
        <v>2284</v>
      </c>
      <c r="K10" s="968" t="s">
        <v>23</v>
      </c>
      <c r="L10" s="963"/>
      <c r="M10" s="969">
        <v>46056</v>
      </c>
      <c r="N10" s="964" t="s">
        <v>214</v>
      </c>
      <c r="O10" s="866"/>
    </row>
    <row r="11" spans="1:19" ht="18.75" x14ac:dyDescent="0.2">
      <c r="C11" s="2"/>
      <c r="O11" s="866"/>
    </row>
    <row r="12" spans="1:19" ht="18.75" x14ac:dyDescent="0.2">
      <c r="A12" s="966" t="s">
        <v>2296</v>
      </c>
      <c r="O12" s="866"/>
    </row>
    <row r="13" spans="1:19" ht="21" x14ac:dyDescent="0.2">
      <c r="B13" s="1355" t="s">
        <v>2297</v>
      </c>
      <c r="C13" s="1356"/>
      <c r="D13" s="1941" t="s">
        <v>2283</v>
      </c>
      <c r="E13" s="1942"/>
      <c r="F13" s="1942"/>
      <c r="G13" s="1942"/>
      <c r="H13" s="1942"/>
      <c r="I13" s="1943"/>
      <c r="J13" s="865" t="s">
        <v>2284</v>
      </c>
      <c r="K13" s="968" t="s">
        <v>23</v>
      </c>
      <c r="L13" s="963"/>
      <c r="M13" s="969">
        <v>46056</v>
      </c>
      <c r="N13" s="964" t="s">
        <v>214</v>
      </c>
      <c r="O13" s="866"/>
    </row>
    <row r="14" spans="1:19" ht="21" x14ac:dyDescent="0.2">
      <c r="C14" s="965" t="s">
        <v>2298</v>
      </c>
      <c r="D14" s="1933" t="s">
        <v>2286</v>
      </c>
      <c r="E14" s="1934"/>
      <c r="F14" s="1934"/>
      <c r="G14" s="1934"/>
      <c r="H14" s="1934"/>
      <c r="I14" s="1935"/>
      <c r="J14" s="865" t="s">
        <v>2284</v>
      </c>
      <c r="K14" s="968" t="s">
        <v>23</v>
      </c>
      <c r="L14" s="963"/>
      <c r="M14" s="969">
        <v>46056</v>
      </c>
      <c r="N14" s="964" t="s">
        <v>214</v>
      </c>
      <c r="O14" s="866"/>
    </row>
    <row r="15" spans="1:19" ht="21" x14ac:dyDescent="0.2">
      <c r="C15" s="965" t="s">
        <v>2299</v>
      </c>
      <c r="D15" s="1933" t="s">
        <v>2289</v>
      </c>
      <c r="E15" s="1934"/>
      <c r="F15" s="1934"/>
      <c r="G15" s="1934"/>
      <c r="H15" s="1934"/>
      <c r="I15" s="1935"/>
      <c r="J15" s="865" t="s">
        <v>2284</v>
      </c>
      <c r="K15" s="968" t="s">
        <v>23</v>
      </c>
      <c r="L15" s="963"/>
      <c r="M15" s="969">
        <v>46056</v>
      </c>
      <c r="N15" s="964" t="s">
        <v>214</v>
      </c>
      <c r="O15" s="866"/>
    </row>
    <row r="16" spans="1:19" ht="21" x14ac:dyDescent="0.2">
      <c r="C16" s="965" t="s">
        <v>2300</v>
      </c>
      <c r="D16" s="1933" t="s">
        <v>2301</v>
      </c>
      <c r="E16" s="1934"/>
      <c r="F16" s="1934"/>
      <c r="G16" s="1934"/>
      <c r="H16" s="1934"/>
      <c r="I16" s="1935"/>
      <c r="J16" s="865" t="s">
        <v>2284</v>
      </c>
      <c r="K16" s="968" t="s">
        <v>23</v>
      </c>
      <c r="L16" s="963"/>
      <c r="M16" s="969">
        <v>46056</v>
      </c>
      <c r="N16" s="964" t="s">
        <v>214</v>
      </c>
      <c r="O16" s="866"/>
    </row>
    <row r="17" spans="1:15" ht="21" x14ac:dyDescent="0.2">
      <c r="C17" s="965" t="s">
        <v>2302</v>
      </c>
      <c r="D17" s="1933" t="s">
        <v>2292</v>
      </c>
      <c r="E17" s="1934"/>
      <c r="F17" s="1934"/>
      <c r="G17" s="1934"/>
      <c r="H17" s="1934"/>
      <c r="I17" s="1935"/>
      <c r="J17" s="865" t="s">
        <v>2284</v>
      </c>
      <c r="K17" s="968" t="s">
        <v>23</v>
      </c>
      <c r="L17" s="963"/>
      <c r="M17" s="969">
        <v>46056</v>
      </c>
      <c r="N17" s="964" t="s">
        <v>214</v>
      </c>
      <c r="O17" s="866"/>
    </row>
    <row r="18" spans="1:15" ht="21" x14ac:dyDescent="0.2">
      <c r="C18" s="965" t="s">
        <v>2303</v>
      </c>
      <c r="D18" s="1933" t="s">
        <v>2292</v>
      </c>
      <c r="E18" s="1934"/>
      <c r="F18" s="1934"/>
      <c r="G18" s="1934"/>
      <c r="H18" s="1934"/>
      <c r="I18" s="1935"/>
      <c r="J18" s="865" t="s">
        <v>2284</v>
      </c>
      <c r="K18" s="968" t="s">
        <v>23</v>
      </c>
      <c r="L18" s="963"/>
      <c r="M18" s="969">
        <v>46056</v>
      </c>
      <c r="N18" s="964" t="s">
        <v>214</v>
      </c>
      <c r="O18" s="866"/>
    </row>
    <row r="19" spans="1:15" ht="21" x14ac:dyDescent="0.2">
      <c r="C19" s="965" t="s">
        <v>2304</v>
      </c>
      <c r="D19" s="1933" t="s">
        <v>2295</v>
      </c>
      <c r="E19" s="1934"/>
      <c r="F19" s="1934"/>
      <c r="G19" s="1934"/>
      <c r="H19" s="1934"/>
      <c r="I19" s="1935"/>
      <c r="J19" s="865" t="s">
        <v>2284</v>
      </c>
      <c r="K19" s="968" t="s">
        <v>23</v>
      </c>
      <c r="L19" s="963"/>
      <c r="M19" s="969">
        <v>46056</v>
      </c>
      <c r="N19" s="964" t="s">
        <v>214</v>
      </c>
      <c r="O19" s="866"/>
    </row>
    <row r="20" spans="1:15" ht="18.75" x14ac:dyDescent="0.2">
      <c r="O20" s="866"/>
    </row>
    <row r="21" spans="1:15" ht="18.75" x14ac:dyDescent="0.2">
      <c r="A21" s="966" t="s">
        <v>2305</v>
      </c>
      <c r="O21" s="866"/>
    </row>
    <row r="22" spans="1:15" ht="21" x14ac:dyDescent="0.2">
      <c r="B22" s="964" t="s">
        <v>2306</v>
      </c>
      <c r="D22" s="1936" t="s">
        <v>2283</v>
      </c>
      <c r="E22" s="1937"/>
      <c r="F22" s="1937"/>
      <c r="G22" s="1937"/>
      <c r="H22" s="1937"/>
      <c r="I22" s="1938"/>
      <c r="J22" s="865" t="s">
        <v>2284</v>
      </c>
      <c r="K22" s="968" t="s">
        <v>23</v>
      </c>
      <c r="L22" s="963"/>
      <c r="M22" s="969">
        <v>46056</v>
      </c>
      <c r="N22" s="964" t="s">
        <v>214</v>
      </c>
      <c r="O22" s="866"/>
    </row>
    <row r="23" spans="1:15" ht="21" x14ac:dyDescent="0.2">
      <c r="C23" s="965" t="s">
        <v>2307</v>
      </c>
      <c r="D23" s="1933" t="s">
        <v>2286</v>
      </c>
      <c r="E23" s="1934"/>
      <c r="F23" s="1934"/>
      <c r="G23" s="1934"/>
      <c r="H23" s="1934"/>
      <c r="I23" s="1935"/>
      <c r="J23" s="865" t="s">
        <v>2284</v>
      </c>
      <c r="K23" s="968" t="s">
        <v>23</v>
      </c>
      <c r="L23" s="963"/>
      <c r="M23" s="969">
        <v>46056</v>
      </c>
      <c r="N23" s="964" t="s">
        <v>214</v>
      </c>
      <c r="O23" s="866"/>
    </row>
    <row r="24" spans="1:15" ht="21" x14ac:dyDescent="0.2">
      <c r="C24" s="965" t="s">
        <v>2308</v>
      </c>
      <c r="D24" s="1933" t="s">
        <v>2289</v>
      </c>
      <c r="E24" s="1934"/>
      <c r="F24" s="1934"/>
      <c r="G24" s="1934"/>
      <c r="H24" s="1934"/>
      <c r="I24" s="1935"/>
      <c r="J24" s="865" t="s">
        <v>2284</v>
      </c>
      <c r="K24" s="968" t="s">
        <v>23</v>
      </c>
      <c r="L24" s="963"/>
      <c r="M24" s="969">
        <v>46056</v>
      </c>
      <c r="N24" s="964" t="s">
        <v>214</v>
      </c>
      <c r="O24" s="867"/>
    </row>
    <row r="25" spans="1:15" ht="21" x14ac:dyDescent="0.2">
      <c r="C25" s="1354" t="s">
        <v>2309</v>
      </c>
      <c r="D25" s="1947" t="s">
        <v>2301</v>
      </c>
      <c r="E25" s="1948"/>
      <c r="F25" s="1948"/>
      <c r="G25" s="1948"/>
      <c r="H25" s="1948"/>
      <c r="I25" s="1949"/>
      <c r="J25" s="865" t="s">
        <v>2284</v>
      </c>
      <c r="K25" s="968" t="s">
        <v>23</v>
      </c>
      <c r="L25" s="963"/>
      <c r="M25" s="969">
        <v>46056</v>
      </c>
      <c r="N25" s="964" t="s">
        <v>214</v>
      </c>
      <c r="O25" s="866"/>
    </row>
    <row r="26" spans="1:15" ht="21" x14ac:dyDescent="0.2">
      <c r="C26" s="965" t="s">
        <v>2310</v>
      </c>
      <c r="D26" s="1933" t="s">
        <v>2292</v>
      </c>
      <c r="E26" s="1934"/>
      <c r="F26" s="1934"/>
      <c r="G26" s="1934"/>
      <c r="H26" s="1934"/>
      <c r="I26" s="1935"/>
      <c r="J26" s="865" t="s">
        <v>2284</v>
      </c>
      <c r="K26" s="968" t="s">
        <v>23</v>
      </c>
      <c r="L26" s="963"/>
      <c r="M26" s="969">
        <v>46056</v>
      </c>
      <c r="N26" s="964" t="s">
        <v>214</v>
      </c>
      <c r="O26" s="866"/>
    </row>
    <row r="27" spans="1:15" ht="37.5" x14ac:dyDescent="0.2">
      <c r="C27" s="1354" t="s">
        <v>2311</v>
      </c>
      <c r="D27" s="1947" t="s">
        <v>2292</v>
      </c>
      <c r="E27" s="1948"/>
      <c r="F27" s="1948"/>
      <c r="G27" s="1948"/>
      <c r="H27" s="1948"/>
      <c r="I27" s="1949"/>
      <c r="J27" s="865" t="s">
        <v>2284</v>
      </c>
      <c r="K27" s="968" t="s">
        <v>23</v>
      </c>
      <c r="L27" s="963"/>
      <c r="M27" s="969">
        <v>46056</v>
      </c>
      <c r="N27" s="964" t="s">
        <v>214</v>
      </c>
      <c r="O27" s="866" t="s">
        <v>149</v>
      </c>
    </row>
    <row r="28" spans="1:15" ht="21" x14ac:dyDescent="0.2">
      <c r="C28" s="965" t="s">
        <v>2312</v>
      </c>
      <c r="D28" s="1933" t="s">
        <v>2295</v>
      </c>
      <c r="E28" s="1934"/>
      <c r="F28" s="1934"/>
      <c r="G28" s="1934"/>
      <c r="H28" s="1934"/>
      <c r="I28" s="1935"/>
      <c r="J28" s="865" t="s">
        <v>2284</v>
      </c>
      <c r="K28" s="968" t="s">
        <v>23</v>
      </c>
      <c r="L28" s="963"/>
      <c r="M28" s="969">
        <v>46056</v>
      </c>
      <c r="N28" s="964" t="s">
        <v>214</v>
      </c>
      <c r="O28" s="866"/>
    </row>
    <row r="29" spans="1:15" ht="18.75" x14ac:dyDescent="0.2">
      <c r="O29" s="866"/>
    </row>
    <row r="30" spans="1:15" ht="18.75" x14ac:dyDescent="0.2">
      <c r="A30" s="962" t="s">
        <v>2313</v>
      </c>
      <c r="O30" s="866"/>
    </row>
    <row r="31" spans="1:15" ht="21" x14ac:dyDescent="0.2">
      <c r="B31" s="964" t="s">
        <v>2314</v>
      </c>
      <c r="D31" s="1936" t="s">
        <v>2283</v>
      </c>
      <c r="E31" s="1937"/>
      <c r="F31" s="1937"/>
      <c r="G31" s="1937"/>
      <c r="H31" s="1937"/>
      <c r="I31" s="1938"/>
      <c r="J31" s="865" t="s">
        <v>2284</v>
      </c>
      <c r="K31" s="968" t="s">
        <v>23</v>
      </c>
      <c r="L31" s="963"/>
      <c r="M31" s="969">
        <v>46056</v>
      </c>
      <c r="N31" s="964" t="s">
        <v>214</v>
      </c>
    </row>
    <row r="32" spans="1:15" ht="21" x14ac:dyDescent="0.2">
      <c r="C32" s="965" t="s">
        <v>2315</v>
      </c>
      <c r="D32" s="1933" t="s">
        <v>2286</v>
      </c>
      <c r="E32" s="1934"/>
      <c r="F32" s="1934"/>
      <c r="G32" s="1934"/>
      <c r="H32" s="1934"/>
      <c r="I32" s="1935"/>
      <c r="J32" s="865" t="s">
        <v>2284</v>
      </c>
      <c r="K32" s="968" t="s">
        <v>23</v>
      </c>
      <c r="L32" s="963"/>
      <c r="M32" s="969">
        <v>46056</v>
      </c>
      <c r="N32" s="964" t="s">
        <v>214</v>
      </c>
    </row>
    <row r="33" spans="3:14" ht="21" x14ac:dyDescent="0.2">
      <c r="C33" s="965" t="s">
        <v>2316</v>
      </c>
      <c r="D33" s="1933" t="s">
        <v>2289</v>
      </c>
      <c r="E33" s="1934"/>
      <c r="F33" s="1934"/>
      <c r="G33" s="1934"/>
      <c r="H33" s="1934"/>
      <c r="I33" s="1935"/>
      <c r="J33" s="865" t="s">
        <v>2284</v>
      </c>
      <c r="K33" s="968" t="s">
        <v>23</v>
      </c>
      <c r="L33" s="963"/>
      <c r="M33" s="969">
        <v>46056</v>
      </c>
      <c r="N33" s="964" t="s">
        <v>214</v>
      </c>
    </row>
    <row r="34" spans="3:14" ht="21" x14ac:dyDescent="0.2">
      <c r="C34" s="1354" t="s">
        <v>2317</v>
      </c>
      <c r="D34" s="1947" t="s">
        <v>2289</v>
      </c>
      <c r="E34" s="1948"/>
      <c r="F34" s="1948"/>
      <c r="G34" s="1948"/>
      <c r="H34" s="1948"/>
      <c r="I34" s="1949"/>
      <c r="J34" s="865" t="s">
        <v>2284</v>
      </c>
      <c r="K34" s="968" t="s">
        <v>23</v>
      </c>
      <c r="L34" s="963"/>
      <c r="M34" s="969">
        <v>46056</v>
      </c>
      <c r="N34" s="964" t="s">
        <v>214</v>
      </c>
    </row>
    <row r="35" spans="3:14" ht="21" x14ac:dyDescent="0.2">
      <c r="C35" s="965" t="s">
        <v>2318</v>
      </c>
      <c r="D35" s="1933" t="s">
        <v>2292</v>
      </c>
      <c r="E35" s="1934"/>
      <c r="F35" s="1934"/>
      <c r="G35" s="1934"/>
      <c r="H35" s="1934"/>
      <c r="I35" s="1935"/>
      <c r="J35" s="865" t="s">
        <v>2284</v>
      </c>
      <c r="K35" s="968" t="s">
        <v>23</v>
      </c>
      <c r="L35" s="963"/>
      <c r="M35" s="969">
        <v>46056</v>
      </c>
      <c r="N35" s="964" t="s">
        <v>214</v>
      </c>
    </row>
    <row r="36" spans="3:14" ht="21" x14ac:dyDescent="0.2">
      <c r="C36" s="965" t="s">
        <v>2319</v>
      </c>
      <c r="D36" s="1933" t="s">
        <v>2292</v>
      </c>
      <c r="E36" s="1934"/>
      <c r="F36" s="1934"/>
      <c r="G36" s="1934"/>
      <c r="H36" s="1934"/>
      <c r="I36" s="1935"/>
      <c r="J36" s="865" t="s">
        <v>2284</v>
      </c>
      <c r="K36" s="968" t="s">
        <v>23</v>
      </c>
      <c r="L36" s="963"/>
      <c r="M36" s="969">
        <v>46056</v>
      </c>
      <c r="N36" s="964" t="s">
        <v>214</v>
      </c>
    </row>
    <row r="37" spans="3:14" ht="21" x14ac:dyDescent="0.2">
      <c r="C37" s="1354" t="s">
        <v>2320</v>
      </c>
      <c r="D37" s="1947" t="s">
        <v>2295</v>
      </c>
      <c r="E37" s="1948"/>
      <c r="F37" s="1948"/>
      <c r="G37" s="1948"/>
      <c r="H37" s="1948"/>
      <c r="I37" s="1949"/>
      <c r="J37" s="865" t="s">
        <v>2284</v>
      </c>
      <c r="K37" s="968" t="s">
        <v>23</v>
      </c>
      <c r="L37" s="963"/>
      <c r="M37" s="969">
        <v>46056</v>
      </c>
      <c r="N37" s="964" t="s">
        <v>214</v>
      </c>
    </row>
  </sheetData>
  <mergeCells count="32">
    <mergeCell ref="D36:I36"/>
    <mergeCell ref="D37:I37"/>
    <mergeCell ref="O3:O4"/>
    <mergeCell ref="O5:O9"/>
    <mergeCell ref="D31:I31"/>
    <mergeCell ref="D32:I32"/>
    <mergeCell ref="D33:I33"/>
    <mergeCell ref="D34:I34"/>
    <mergeCell ref="D35:I35"/>
    <mergeCell ref="D24:I24"/>
    <mergeCell ref="D25:I25"/>
    <mergeCell ref="D26:I26"/>
    <mergeCell ref="D27:I27"/>
    <mergeCell ref="D28:I28"/>
    <mergeCell ref="D17:I17"/>
    <mergeCell ref="D18:I18"/>
    <mergeCell ref="D19:I19"/>
    <mergeCell ref="D22:I22"/>
    <mergeCell ref="D23:I23"/>
    <mergeCell ref="B2:C2"/>
    <mergeCell ref="D13:I13"/>
    <mergeCell ref="D14:I14"/>
    <mergeCell ref="D15:I15"/>
    <mergeCell ref="D16:I16"/>
    <mergeCell ref="D10:I10"/>
    <mergeCell ref="D2:I2"/>
    <mergeCell ref="D4:I4"/>
    <mergeCell ref="D5:I5"/>
    <mergeCell ref="D6:I6"/>
    <mergeCell ref="D7:I7"/>
    <mergeCell ref="D8:I8"/>
    <mergeCell ref="D9:I9"/>
  </mergeCells>
  <conditionalFormatting sqref="J4:J10">
    <cfRule type="containsText" dxfId="59" priority="13" stopIfTrue="1" operator="containsText" text="DEPLOYED">
      <formula>NOT(ISERROR(SEARCH("DEPLOYED",J4)))</formula>
    </cfRule>
    <cfRule type="containsText" dxfId="58" priority="14" stopIfTrue="1" operator="containsText" text="Inspection/cal">
      <formula>NOT(ISERROR(SEARCH("Inspection/cal",J4)))</formula>
    </cfRule>
    <cfRule type="containsText" dxfId="57" priority="15" stopIfTrue="1" operator="containsText" text="U/S">
      <formula>NOT(ISERROR(SEARCH("U/S",J4)))</formula>
    </cfRule>
    <cfRule type="containsText" dxfId="56" priority="16" stopIfTrue="1" operator="containsText" text="S">
      <formula>NOT(ISERROR(SEARCH("S",J4)))</formula>
    </cfRule>
  </conditionalFormatting>
  <conditionalFormatting sqref="J13:J19">
    <cfRule type="containsText" dxfId="55" priority="9" stopIfTrue="1" operator="containsText" text="DEPLOYED">
      <formula>NOT(ISERROR(SEARCH("DEPLOYED",J13)))</formula>
    </cfRule>
    <cfRule type="containsText" dxfId="54" priority="10" stopIfTrue="1" operator="containsText" text="Inspection/cal">
      <formula>NOT(ISERROR(SEARCH("Inspection/cal",J13)))</formula>
    </cfRule>
    <cfRule type="containsText" dxfId="53" priority="11" stopIfTrue="1" operator="containsText" text="U/S">
      <formula>NOT(ISERROR(SEARCH("U/S",J13)))</formula>
    </cfRule>
    <cfRule type="containsText" dxfId="52" priority="12" stopIfTrue="1" operator="containsText" text="S">
      <formula>NOT(ISERROR(SEARCH("S",J13)))</formula>
    </cfRule>
  </conditionalFormatting>
  <conditionalFormatting sqref="J22:J28">
    <cfRule type="containsText" dxfId="51" priority="5" stopIfTrue="1" operator="containsText" text="DEPLOYED">
      <formula>NOT(ISERROR(SEARCH("DEPLOYED",J22)))</formula>
    </cfRule>
    <cfRule type="containsText" dxfId="50" priority="6" stopIfTrue="1" operator="containsText" text="Inspection/cal">
      <formula>NOT(ISERROR(SEARCH("Inspection/cal",J22)))</formula>
    </cfRule>
    <cfRule type="containsText" dxfId="49" priority="7" stopIfTrue="1" operator="containsText" text="U/S">
      <formula>NOT(ISERROR(SEARCH("U/S",J22)))</formula>
    </cfRule>
    <cfRule type="containsText" dxfId="48" priority="8" stopIfTrue="1" operator="containsText" text="S">
      <formula>NOT(ISERROR(SEARCH("S",J22)))</formula>
    </cfRule>
  </conditionalFormatting>
  <conditionalFormatting sqref="J31:J37">
    <cfRule type="containsText" dxfId="47" priority="1" stopIfTrue="1" operator="containsText" text="DEPLOYED">
      <formula>NOT(ISERROR(SEARCH("DEPLOYED",J31)))</formula>
    </cfRule>
    <cfRule type="containsText" dxfId="46" priority="2" stopIfTrue="1" operator="containsText" text="Inspection/cal">
      <formula>NOT(ISERROR(SEARCH("Inspection/cal",J31)))</formula>
    </cfRule>
    <cfRule type="containsText" dxfId="45" priority="3" stopIfTrue="1" operator="containsText" text="U/S">
      <formula>NOT(ISERROR(SEARCH("U/S",J31)))</formula>
    </cfRule>
    <cfRule type="containsText" dxfId="44" priority="4" stopIfTrue="1" operator="containsText" text="S">
      <formula>NOT(ISERROR(SEARCH("S",J31)))</formula>
    </cfRule>
  </conditionalFormatting>
  <dataValidations count="2">
    <dataValidation type="list" showErrorMessage="1" errorTitle="Invalid Entry" error="Please only choose _x000a_S, U/S, DEPLOYED, and PAST INSP DUE" promptTitle="Current Item Condition " prompt="Please, Indicates current item's condition._x000a__x000a_S = Serviceable_x000a__x000a_U/S = UnServiceable/Damaged/under repair/replacement required_x000a__x000a_Deployed = RIP/HLTA/Temp Loan to remote locations_x000a__x000a_Petes rule _x000a__x000a_Past Insp Due = item pass the it's inspection date due  " sqref="J4:J10 J13:J19 J22:J28 J31:J37" xr:uid="{815A05AA-2082-45FE-B2EE-217951B3FB66}">
      <formula1>$M$2:$M$6</formula1>
    </dataValidation>
    <dataValidation type="list" allowBlank="1" showInputMessage="1" showErrorMessage="1" errorTitle="Sorry" error="Sorry, Use One of Listed Values" promptTitle="Please Select Location" prompt="6 Hanger_x000a_1 Hanger_x000a_47 North Start Drive_x000a_7 Hanger Shelter_x000a_TEME_x000a_Deployed_x000a_North Ramp_x000a_West Ramp_x000a_6 Hanger POL Room_x000a_Supply to or from Pylon" sqref="K4:K10 K13:K19 K22:K28 K31:K37" xr:uid="{96537126-62BF-443D-A622-F43E502448D2}">
      <formula1>$N$1:$N$9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AC8D8-08BA-46C0-A3F1-DF365CB33F49}">
  <sheetPr codeName="Sheet2">
    <tabColor indexed="44"/>
    <pageSetUpPr autoPageBreaks="0"/>
  </sheetPr>
  <dimension ref="A1:IV28"/>
  <sheetViews>
    <sheetView showGridLines="0" zoomScale="115" zoomScaleNormal="115" zoomScaleSheetLayoutView="100" workbookViewId="0">
      <pane ySplit="5" topLeftCell="A12" activePane="bottomLeft" state="frozen"/>
      <selection activeCell="L5" sqref="L5"/>
      <selection pane="bottomLeft" activeCell="I15" sqref="I15"/>
    </sheetView>
  </sheetViews>
  <sheetFormatPr defaultRowHeight="12.75" x14ac:dyDescent="0.2"/>
  <cols>
    <col min="1" max="1" width="19.5703125" style="1" customWidth="1"/>
    <col min="2" max="2" width="37.85546875" style="3" customWidth="1"/>
    <col min="3" max="3" width="49.42578125" style="124" customWidth="1"/>
    <col min="4" max="4" width="24.7109375" style="6" customWidth="1"/>
    <col min="5" max="5" width="60.140625" customWidth="1"/>
    <col min="6" max="6" width="51.5703125" style="1" customWidth="1"/>
    <col min="7" max="7" width="11.85546875" bestFit="1" customWidth="1"/>
    <col min="8" max="8" width="24" bestFit="1" customWidth="1"/>
    <col min="9" max="9" width="44.28515625" customWidth="1"/>
    <col min="10" max="10" width="14.42578125" customWidth="1"/>
    <col min="11" max="11" width="8.7109375" bestFit="1" customWidth="1"/>
    <col min="12" max="12" width="27.5703125" customWidth="1"/>
    <col min="13" max="13" width="10.5703125" hidden="1" customWidth="1"/>
  </cols>
  <sheetData>
    <row r="1" spans="1:256" x14ac:dyDescent="0.2">
      <c r="A1" s="120"/>
      <c r="B1" s="1973" t="s">
        <v>2321</v>
      </c>
      <c r="C1" s="1974"/>
      <c r="D1" s="1954" t="s">
        <v>2322</v>
      </c>
      <c r="E1" s="1955"/>
      <c r="F1" s="1955"/>
      <c r="G1" s="1955"/>
      <c r="H1" s="1956"/>
    </row>
    <row r="2" spans="1:256" x14ac:dyDescent="0.2">
      <c r="A2" s="121"/>
      <c r="B2" s="1968" t="s">
        <v>2323</v>
      </c>
      <c r="C2" s="1969"/>
      <c r="D2" s="1957"/>
      <c r="E2" s="1958"/>
      <c r="F2" s="1958"/>
      <c r="G2" s="1958"/>
      <c r="H2" s="1959"/>
    </row>
    <row r="3" spans="1:256" x14ac:dyDescent="0.2">
      <c r="A3" s="125"/>
      <c r="B3" s="1968" t="s">
        <v>2324</v>
      </c>
      <c r="C3" s="1969"/>
      <c r="D3" s="1957"/>
      <c r="E3" s="1958"/>
      <c r="F3" s="1958"/>
      <c r="G3" s="1958"/>
      <c r="H3" s="1959"/>
    </row>
    <row r="4" spans="1:256" x14ac:dyDescent="0.2">
      <c r="A4" s="179"/>
      <c r="B4" s="1968" t="s">
        <v>2325</v>
      </c>
      <c r="C4" s="1969"/>
      <c r="D4" s="1960"/>
      <c r="E4" s="1961"/>
      <c r="F4" s="1961"/>
      <c r="G4" s="1961"/>
      <c r="H4" s="1962"/>
    </row>
    <row r="5" spans="1:256" x14ac:dyDescent="0.2">
      <c r="A5" s="18" t="s">
        <v>2326</v>
      </c>
      <c r="B5" s="19" t="s">
        <v>1931</v>
      </c>
      <c r="C5" s="123" t="s">
        <v>2327</v>
      </c>
      <c r="D5" s="20" t="s">
        <v>2328</v>
      </c>
      <c r="E5" s="4" t="s">
        <v>510</v>
      </c>
      <c r="F5" s="36" t="s">
        <v>2329</v>
      </c>
      <c r="G5" s="36" t="s">
        <v>2330</v>
      </c>
      <c r="H5" s="36" t="s">
        <v>2331</v>
      </c>
      <c r="J5" s="16" t="s">
        <v>682</v>
      </c>
      <c r="K5" s="16"/>
    </row>
    <row r="6" spans="1:256" x14ac:dyDescent="0.2">
      <c r="A6" s="240" t="s">
        <v>2332</v>
      </c>
      <c r="B6" s="241" t="s">
        <v>2333</v>
      </c>
      <c r="C6" s="1970">
        <v>40861</v>
      </c>
      <c r="D6" s="1963" t="s">
        <v>2334</v>
      </c>
      <c r="E6" s="1978" t="s">
        <v>2335</v>
      </c>
      <c r="F6" s="126" t="s">
        <v>2336</v>
      </c>
      <c r="G6" s="30"/>
      <c r="H6" s="30"/>
    </row>
    <row r="7" spans="1:256" x14ac:dyDescent="0.2">
      <c r="A7" s="196"/>
      <c r="B7" s="104"/>
      <c r="C7" s="1971"/>
      <c r="D7" s="1964"/>
      <c r="E7" s="1979"/>
      <c r="F7" s="201"/>
      <c r="G7" s="30"/>
      <c r="H7" s="30"/>
    </row>
    <row r="8" spans="1:256" x14ac:dyDescent="0.2">
      <c r="A8" s="196"/>
      <c r="B8" s="104"/>
      <c r="C8" s="1971"/>
      <c r="D8" s="1964"/>
      <c r="E8" s="1979"/>
      <c r="F8" s="201"/>
      <c r="G8" s="30"/>
      <c r="H8" s="30"/>
    </row>
    <row r="9" spans="1:256" x14ac:dyDescent="0.2">
      <c r="A9" s="197"/>
      <c r="B9" s="202"/>
      <c r="C9" s="1972"/>
      <c r="D9" s="1965"/>
      <c r="E9" s="1980"/>
      <c r="F9" s="201"/>
      <c r="G9" s="30"/>
      <c r="H9" s="30"/>
    </row>
    <row r="10" spans="1:256" x14ac:dyDescent="0.2">
      <c r="A10" s="198" t="s">
        <v>2337</v>
      </c>
      <c r="B10" s="203" t="s">
        <v>2338</v>
      </c>
      <c r="C10" s="122">
        <v>40955</v>
      </c>
      <c r="D10" s="199" t="s">
        <v>2334</v>
      </c>
      <c r="E10" s="200" t="s">
        <v>2339</v>
      </c>
      <c r="F10" s="201" t="s">
        <v>2340</v>
      </c>
      <c r="G10" s="204" t="s">
        <v>2341</v>
      </c>
      <c r="H10" s="30" t="s">
        <v>2342</v>
      </c>
    </row>
    <row r="11" spans="1:256" x14ac:dyDescent="0.2">
      <c r="A11" s="242" t="s">
        <v>2343</v>
      </c>
      <c r="B11" s="217" t="s">
        <v>2344</v>
      </c>
      <c r="C11" s="939"/>
      <c r="D11" s="118"/>
      <c r="E11" s="22" t="s">
        <v>2345</v>
      </c>
      <c r="F11" s="22"/>
      <c r="G11" s="22" t="s">
        <v>2341</v>
      </c>
      <c r="H11" s="28"/>
      <c r="I11" s="2"/>
    </row>
    <row r="12" spans="1:256" ht="47.25" x14ac:dyDescent="0.2">
      <c r="A12" s="288" t="s">
        <v>2346</v>
      </c>
      <c r="B12" s="288" t="s">
        <v>2347</v>
      </c>
      <c r="C12" s="291" t="s">
        <v>2348</v>
      </c>
      <c r="D12" s="231">
        <v>42816</v>
      </c>
      <c r="E12" s="232" t="s">
        <v>688</v>
      </c>
      <c r="F12" s="289" t="s">
        <v>2349</v>
      </c>
      <c r="G12" s="286">
        <v>43182</v>
      </c>
      <c r="H12" s="234" t="s">
        <v>2350</v>
      </c>
      <c r="I12" s="270"/>
      <c r="J12" s="286">
        <v>43252</v>
      </c>
      <c r="K12" s="271"/>
    </row>
    <row r="13" spans="1:256" ht="30" x14ac:dyDescent="0.2">
      <c r="A13" s="288" t="s">
        <v>2351</v>
      </c>
      <c r="B13" s="288" t="s">
        <v>2352</v>
      </c>
      <c r="C13" s="291" t="s">
        <v>2353</v>
      </c>
      <c r="D13" s="231">
        <v>43504</v>
      </c>
      <c r="E13" s="232" t="s">
        <v>688</v>
      </c>
      <c r="F13" s="295" t="s">
        <v>2354</v>
      </c>
      <c r="G13" s="293">
        <v>43504</v>
      </c>
      <c r="H13" s="296" t="s">
        <v>2355</v>
      </c>
      <c r="I13" s="294"/>
      <c r="J13" s="293"/>
      <c r="K13" s="230"/>
    </row>
    <row r="14" spans="1:256" ht="15.75" x14ac:dyDescent="0.2">
      <c r="A14" s="288" t="s">
        <v>2356</v>
      </c>
      <c r="B14" s="288" t="s">
        <v>2357</v>
      </c>
      <c r="C14" s="291" t="s">
        <v>2358</v>
      </c>
      <c r="D14" s="231">
        <v>42460</v>
      </c>
      <c r="E14" s="232" t="s">
        <v>688</v>
      </c>
      <c r="F14" s="297" t="s">
        <v>2359</v>
      </c>
      <c r="G14" s="293">
        <v>43154</v>
      </c>
      <c r="H14" s="296" t="s">
        <v>2360</v>
      </c>
      <c r="I14" s="294"/>
      <c r="J14" s="293"/>
      <c r="K14" s="230"/>
    </row>
    <row r="15" spans="1:256" ht="15.75" x14ac:dyDescent="0.2">
      <c r="A15" s="288" t="s">
        <v>261</v>
      </c>
      <c r="B15" s="288" t="s">
        <v>879</v>
      </c>
      <c r="C15" s="291" t="s">
        <v>2361</v>
      </c>
      <c r="D15" s="231">
        <v>43465</v>
      </c>
      <c r="E15" s="232" t="s">
        <v>688</v>
      </c>
      <c r="F15" s="297" t="s">
        <v>2359</v>
      </c>
      <c r="G15" s="293">
        <v>43537</v>
      </c>
      <c r="H15" s="296" t="s">
        <v>2360</v>
      </c>
      <c r="I15" s="294" t="s">
        <v>2362</v>
      </c>
      <c r="J15" s="293"/>
      <c r="K15" s="230"/>
    </row>
    <row r="16" spans="1:256" ht="15.75" x14ac:dyDescent="0.25">
      <c r="A16" s="288" t="s">
        <v>2363</v>
      </c>
      <c r="B16" s="288" t="s">
        <v>2364</v>
      </c>
      <c r="C16" s="298" t="s">
        <v>472</v>
      </c>
      <c r="D16" s="231">
        <v>43160</v>
      </c>
      <c r="E16" s="232" t="s">
        <v>688</v>
      </c>
      <c r="F16" s="297" t="s">
        <v>2359</v>
      </c>
      <c r="G16" s="288"/>
      <c r="H16" s="285"/>
      <c r="I16" s="288"/>
      <c r="J16" s="285" t="s">
        <v>2364</v>
      </c>
      <c r="K16" s="288" t="s">
        <v>2363</v>
      </c>
      <c r="L16" s="285" t="s">
        <v>2364</v>
      </c>
      <c r="M16" s="288" t="s">
        <v>2363</v>
      </c>
      <c r="N16" s="285" t="s">
        <v>2364</v>
      </c>
      <c r="O16" s="288" t="s">
        <v>2363</v>
      </c>
      <c r="P16" s="285" t="s">
        <v>2364</v>
      </c>
      <c r="Q16" s="288" t="s">
        <v>2363</v>
      </c>
      <c r="R16" s="285" t="s">
        <v>2364</v>
      </c>
      <c r="S16" s="288" t="s">
        <v>2363</v>
      </c>
      <c r="T16" s="285" t="s">
        <v>2364</v>
      </c>
      <c r="U16" s="288" t="s">
        <v>2363</v>
      </c>
      <c r="V16" s="285" t="s">
        <v>2364</v>
      </c>
      <c r="W16" s="288" t="s">
        <v>2363</v>
      </c>
      <c r="X16" s="285" t="s">
        <v>2364</v>
      </c>
      <c r="Y16" s="288" t="s">
        <v>2363</v>
      </c>
      <c r="Z16" s="285" t="s">
        <v>2364</v>
      </c>
      <c r="AA16" s="288" t="s">
        <v>2363</v>
      </c>
      <c r="AB16" s="285" t="s">
        <v>2364</v>
      </c>
      <c r="AC16" s="288" t="s">
        <v>2363</v>
      </c>
      <c r="AD16" s="285" t="s">
        <v>2364</v>
      </c>
      <c r="AE16" s="288" t="s">
        <v>2363</v>
      </c>
      <c r="AF16" s="285" t="s">
        <v>2364</v>
      </c>
      <c r="AG16" s="288" t="s">
        <v>2363</v>
      </c>
      <c r="AH16" s="285" t="s">
        <v>2364</v>
      </c>
      <c r="AI16" s="288" t="s">
        <v>2363</v>
      </c>
      <c r="AJ16" s="285" t="s">
        <v>2364</v>
      </c>
      <c r="AK16" s="288" t="s">
        <v>2363</v>
      </c>
      <c r="AL16" s="285" t="s">
        <v>2364</v>
      </c>
      <c r="AM16" s="288" t="s">
        <v>2363</v>
      </c>
      <c r="AN16" s="285" t="s">
        <v>2364</v>
      </c>
      <c r="AO16" s="288" t="s">
        <v>2363</v>
      </c>
      <c r="AP16" s="285" t="s">
        <v>2364</v>
      </c>
      <c r="AQ16" s="288" t="s">
        <v>2363</v>
      </c>
      <c r="AR16" s="285" t="s">
        <v>2364</v>
      </c>
      <c r="AS16" s="288" t="s">
        <v>2363</v>
      </c>
      <c r="AT16" s="285" t="s">
        <v>2364</v>
      </c>
      <c r="AU16" s="288" t="s">
        <v>2363</v>
      </c>
      <c r="AV16" s="285" t="s">
        <v>2364</v>
      </c>
      <c r="AW16" s="288" t="s">
        <v>2363</v>
      </c>
      <c r="AX16" s="285" t="s">
        <v>2364</v>
      </c>
      <c r="AY16" s="288" t="s">
        <v>2363</v>
      </c>
      <c r="AZ16" s="285" t="s">
        <v>2364</v>
      </c>
      <c r="BA16" s="288" t="s">
        <v>2363</v>
      </c>
      <c r="BB16" s="285" t="s">
        <v>2364</v>
      </c>
      <c r="BC16" s="288" t="s">
        <v>2363</v>
      </c>
      <c r="BD16" s="285" t="s">
        <v>2364</v>
      </c>
      <c r="BE16" s="288" t="s">
        <v>2363</v>
      </c>
      <c r="BF16" s="285" t="s">
        <v>2364</v>
      </c>
      <c r="BG16" s="288" t="s">
        <v>2363</v>
      </c>
      <c r="BH16" s="285" t="s">
        <v>2364</v>
      </c>
      <c r="BI16" s="288" t="s">
        <v>2363</v>
      </c>
      <c r="BJ16" s="285" t="s">
        <v>2364</v>
      </c>
      <c r="BK16" s="288" t="s">
        <v>2363</v>
      </c>
      <c r="BL16" s="285" t="s">
        <v>2364</v>
      </c>
      <c r="BM16" s="288" t="s">
        <v>2363</v>
      </c>
      <c r="BN16" s="285" t="s">
        <v>2364</v>
      </c>
      <c r="BO16" s="288" t="s">
        <v>2363</v>
      </c>
      <c r="BP16" s="285" t="s">
        <v>2364</v>
      </c>
      <c r="BQ16" s="288" t="s">
        <v>2363</v>
      </c>
      <c r="BR16" s="285" t="s">
        <v>2364</v>
      </c>
      <c r="BS16" s="288" t="s">
        <v>2363</v>
      </c>
      <c r="BT16" s="285" t="s">
        <v>2364</v>
      </c>
      <c r="BU16" s="288" t="s">
        <v>2363</v>
      </c>
      <c r="BV16" s="285" t="s">
        <v>2364</v>
      </c>
      <c r="BW16" s="288" t="s">
        <v>2363</v>
      </c>
      <c r="BX16" s="285" t="s">
        <v>2364</v>
      </c>
      <c r="BY16" s="288" t="s">
        <v>2363</v>
      </c>
      <c r="BZ16" s="285" t="s">
        <v>2364</v>
      </c>
      <c r="CA16" s="288" t="s">
        <v>2363</v>
      </c>
      <c r="CB16" s="285" t="s">
        <v>2364</v>
      </c>
      <c r="CC16" s="288" t="s">
        <v>2363</v>
      </c>
      <c r="CD16" s="285" t="s">
        <v>2364</v>
      </c>
      <c r="CE16" s="288" t="s">
        <v>2363</v>
      </c>
      <c r="CF16" s="285" t="s">
        <v>2364</v>
      </c>
      <c r="CG16" s="288" t="s">
        <v>2363</v>
      </c>
      <c r="CH16" s="285" t="s">
        <v>2364</v>
      </c>
      <c r="CI16" s="288" t="s">
        <v>2363</v>
      </c>
      <c r="CJ16" s="285" t="s">
        <v>2364</v>
      </c>
      <c r="CK16" s="288" t="s">
        <v>2363</v>
      </c>
      <c r="CL16" s="285" t="s">
        <v>2364</v>
      </c>
      <c r="CM16" s="288" t="s">
        <v>2363</v>
      </c>
      <c r="CN16" s="285" t="s">
        <v>2364</v>
      </c>
      <c r="CO16" s="288" t="s">
        <v>2363</v>
      </c>
      <c r="CP16" s="285" t="s">
        <v>2364</v>
      </c>
      <c r="CQ16" s="288" t="s">
        <v>2363</v>
      </c>
      <c r="CR16" s="285" t="s">
        <v>2364</v>
      </c>
      <c r="CS16" s="288" t="s">
        <v>2363</v>
      </c>
      <c r="CT16" s="285" t="s">
        <v>2364</v>
      </c>
      <c r="CU16" s="288" t="s">
        <v>2363</v>
      </c>
      <c r="CV16" s="285" t="s">
        <v>2364</v>
      </c>
      <c r="CW16" s="288" t="s">
        <v>2363</v>
      </c>
      <c r="CX16" s="285" t="s">
        <v>2364</v>
      </c>
      <c r="CY16" s="288" t="s">
        <v>2363</v>
      </c>
      <c r="CZ16" s="285" t="s">
        <v>2364</v>
      </c>
      <c r="DA16" s="288" t="s">
        <v>2363</v>
      </c>
      <c r="DB16" s="285" t="s">
        <v>2364</v>
      </c>
      <c r="DC16" s="288" t="s">
        <v>2363</v>
      </c>
      <c r="DD16" s="285" t="s">
        <v>2364</v>
      </c>
      <c r="DE16" s="288" t="s">
        <v>2363</v>
      </c>
      <c r="DF16" s="285" t="s">
        <v>2364</v>
      </c>
      <c r="DG16" s="288" t="s">
        <v>2363</v>
      </c>
      <c r="DH16" s="285" t="s">
        <v>2364</v>
      </c>
      <c r="DI16" s="288" t="s">
        <v>2363</v>
      </c>
      <c r="DJ16" s="285" t="s">
        <v>2364</v>
      </c>
      <c r="DK16" s="288" t="s">
        <v>2363</v>
      </c>
      <c r="DL16" s="285" t="s">
        <v>2364</v>
      </c>
      <c r="DM16" s="288" t="s">
        <v>2363</v>
      </c>
      <c r="DN16" s="285" t="s">
        <v>2364</v>
      </c>
      <c r="DO16" s="288" t="s">
        <v>2363</v>
      </c>
      <c r="DP16" s="285" t="s">
        <v>2364</v>
      </c>
      <c r="DQ16" s="288" t="s">
        <v>2363</v>
      </c>
      <c r="DR16" s="285" t="s">
        <v>2364</v>
      </c>
      <c r="DS16" s="288" t="s">
        <v>2363</v>
      </c>
      <c r="DT16" s="285" t="s">
        <v>2364</v>
      </c>
      <c r="DU16" s="288" t="s">
        <v>2363</v>
      </c>
      <c r="DV16" s="285" t="s">
        <v>2364</v>
      </c>
      <c r="DW16" s="288" t="s">
        <v>2363</v>
      </c>
      <c r="DX16" s="285" t="s">
        <v>2364</v>
      </c>
      <c r="DY16" s="288" t="s">
        <v>2363</v>
      </c>
      <c r="DZ16" s="285" t="s">
        <v>2364</v>
      </c>
      <c r="EA16" s="288" t="s">
        <v>2363</v>
      </c>
      <c r="EB16" s="285" t="s">
        <v>2364</v>
      </c>
      <c r="EC16" s="288" t="s">
        <v>2363</v>
      </c>
      <c r="ED16" s="285" t="s">
        <v>2364</v>
      </c>
      <c r="EE16" s="288" t="s">
        <v>2363</v>
      </c>
      <c r="EF16" s="285" t="s">
        <v>2364</v>
      </c>
      <c r="EG16" s="288" t="s">
        <v>2363</v>
      </c>
      <c r="EH16" s="285" t="s">
        <v>2364</v>
      </c>
      <c r="EI16" s="288" t="s">
        <v>2363</v>
      </c>
      <c r="EJ16" s="285" t="s">
        <v>2364</v>
      </c>
      <c r="EK16" s="288" t="s">
        <v>2363</v>
      </c>
      <c r="EL16" s="285" t="s">
        <v>2364</v>
      </c>
      <c r="EM16" s="288" t="s">
        <v>2363</v>
      </c>
      <c r="EN16" s="285" t="s">
        <v>2364</v>
      </c>
      <c r="EO16" s="288" t="s">
        <v>2363</v>
      </c>
      <c r="EP16" s="285" t="s">
        <v>2364</v>
      </c>
      <c r="EQ16" s="288" t="s">
        <v>2363</v>
      </c>
      <c r="ER16" s="285" t="s">
        <v>2364</v>
      </c>
      <c r="ES16" s="288" t="s">
        <v>2363</v>
      </c>
      <c r="ET16" s="285" t="s">
        <v>2364</v>
      </c>
      <c r="EU16" s="288" t="s">
        <v>2363</v>
      </c>
      <c r="EV16" s="285" t="s">
        <v>2364</v>
      </c>
      <c r="EW16" s="288" t="s">
        <v>2363</v>
      </c>
      <c r="EX16" s="285" t="s">
        <v>2364</v>
      </c>
      <c r="EY16" s="288" t="s">
        <v>2363</v>
      </c>
      <c r="EZ16" s="285" t="s">
        <v>2364</v>
      </c>
      <c r="FA16" s="288" t="s">
        <v>2363</v>
      </c>
      <c r="FB16" s="285" t="s">
        <v>2364</v>
      </c>
      <c r="FC16" s="288" t="s">
        <v>2363</v>
      </c>
      <c r="FD16" s="285" t="s">
        <v>2364</v>
      </c>
      <c r="FE16" s="288" t="s">
        <v>2363</v>
      </c>
      <c r="FF16" s="285" t="s">
        <v>2364</v>
      </c>
      <c r="FG16" s="288" t="s">
        <v>2363</v>
      </c>
      <c r="FH16" s="285" t="s">
        <v>2364</v>
      </c>
      <c r="FI16" s="288" t="s">
        <v>2363</v>
      </c>
      <c r="FJ16" s="285" t="s">
        <v>2364</v>
      </c>
      <c r="FK16" s="288" t="s">
        <v>2363</v>
      </c>
      <c r="FL16" s="285" t="s">
        <v>2364</v>
      </c>
      <c r="FM16" s="288" t="s">
        <v>2363</v>
      </c>
      <c r="FN16" s="285" t="s">
        <v>2364</v>
      </c>
      <c r="FO16" s="288" t="s">
        <v>2363</v>
      </c>
      <c r="FP16" s="285" t="s">
        <v>2364</v>
      </c>
      <c r="FQ16" s="288" t="s">
        <v>2363</v>
      </c>
      <c r="FR16" s="285" t="s">
        <v>2364</v>
      </c>
      <c r="FS16" s="288" t="s">
        <v>2363</v>
      </c>
      <c r="FT16" s="285" t="s">
        <v>2364</v>
      </c>
      <c r="FU16" s="288" t="s">
        <v>2363</v>
      </c>
      <c r="FV16" s="285" t="s">
        <v>2364</v>
      </c>
      <c r="FW16" s="288" t="s">
        <v>2363</v>
      </c>
      <c r="FX16" s="285" t="s">
        <v>2364</v>
      </c>
      <c r="FY16" s="288" t="s">
        <v>2363</v>
      </c>
      <c r="FZ16" s="285" t="s">
        <v>2364</v>
      </c>
      <c r="GA16" s="288" t="s">
        <v>2363</v>
      </c>
      <c r="GB16" s="285" t="s">
        <v>2364</v>
      </c>
      <c r="GC16" s="288" t="s">
        <v>2363</v>
      </c>
      <c r="GD16" s="285" t="s">
        <v>2364</v>
      </c>
      <c r="GE16" s="288" t="s">
        <v>2363</v>
      </c>
      <c r="GF16" s="285" t="s">
        <v>2364</v>
      </c>
      <c r="GG16" s="288" t="s">
        <v>2363</v>
      </c>
      <c r="GH16" s="285" t="s">
        <v>2364</v>
      </c>
      <c r="GI16" s="288" t="s">
        <v>2363</v>
      </c>
      <c r="GJ16" s="285" t="s">
        <v>2364</v>
      </c>
      <c r="GK16" s="288" t="s">
        <v>2363</v>
      </c>
      <c r="GL16" s="285" t="s">
        <v>2364</v>
      </c>
      <c r="GM16" s="288" t="s">
        <v>2363</v>
      </c>
      <c r="GN16" s="285" t="s">
        <v>2364</v>
      </c>
      <c r="GO16" s="288" t="s">
        <v>2363</v>
      </c>
      <c r="GP16" s="285" t="s">
        <v>2364</v>
      </c>
      <c r="GQ16" s="288" t="s">
        <v>2363</v>
      </c>
      <c r="GR16" s="285" t="s">
        <v>2364</v>
      </c>
      <c r="GS16" s="288" t="s">
        <v>2363</v>
      </c>
      <c r="GT16" s="285" t="s">
        <v>2364</v>
      </c>
      <c r="GU16" s="288" t="s">
        <v>2363</v>
      </c>
      <c r="GV16" s="285" t="s">
        <v>2364</v>
      </c>
      <c r="GW16" s="288" t="s">
        <v>2363</v>
      </c>
      <c r="GX16" s="285" t="s">
        <v>2364</v>
      </c>
      <c r="GY16" s="288" t="s">
        <v>2363</v>
      </c>
      <c r="GZ16" s="285" t="s">
        <v>2364</v>
      </c>
      <c r="HA16" s="288" t="s">
        <v>2363</v>
      </c>
      <c r="HB16" s="285" t="s">
        <v>2364</v>
      </c>
      <c r="HC16" s="288" t="s">
        <v>2363</v>
      </c>
      <c r="HD16" s="285" t="s">
        <v>2364</v>
      </c>
      <c r="HE16" s="288" t="s">
        <v>2363</v>
      </c>
      <c r="HF16" s="285" t="s">
        <v>2364</v>
      </c>
      <c r="HG16" s="288" t="s">
        <v>2363</v>
      </c>
      <c r="HH16" s="285" t="s">
        <v>2364</v>
      </c>
      <c r="HI16" s="288" t="s">
        <v>2363</v>
      </c>
      <c r="HJ16" s="285" t="s">
        <v>2364</v>
      </c>
      <c r="HK16" s="288" t="s">
        <v>2363</v>
      </c>
      <c r="HL16" s="285" t="s">
        <v>2364</v>
      </c>
      <c r="HM16" s="288" t="s">
        <v>2363</v>
      </c>
      <c r="HN16" s="285" t="s">
        <v>2364</v>
      </c>
      <c r="HO16" s="288" t="s">
        <v>2363</v>
      </c>
      <c r="HP16" s="285" t="s">
        <v>2364</v>
      </c>
      <c r="HQ16" s="288" t="s">
        <v>2363</v>
      </c>
      <c r="HR16" s="285" t="s">
        <v>2364</v>
      </c>
      <c r="HS16" s="288" t="s">
        <v>2363</v>
      </c>
      <c r="HT16" s="285" t="s">
        <v>2364</v>
      </c>
      <c r="HU16" s="288" t="s">
        <v>2363</v>
      </c>
      <c r="HV16" s="285" t="s">
        <v>2364</v>
      </c>
      <c r="HW16" s="288" t="s">
        <v>2363</v>
      </c>
      <c r="HX16" s="285" t="s">
        <v>2364</v>
      </c>
      <c r="HY16" s="288" t="s">
        <v>2363</v>
      </c>
      <c r="HZ16" s="285" t="s">
        <v>2364</v>
      </c>
      <c r="IA16" s="288" t="s">
        <v>2363</v>
      </c>
      <c r="IB16" s="285" t="s">
        <v>2364</v>
      </c>
      <c r="IC16" s="288" t="s">
        <v>2363</v>
      </c>
      <c r="ID16" s="285" t="s">
        <v>2364</v>
      </c>
      <c r="IE16" s="288" t="s">
        <v>2363</v>
      </c>
      <c r="IF16" s="285" t="s">
        <v>2364</v>
      </c>
      <c r="IG16" s="288" t="s">
        <v>2363</v>
      </c>
      <c r="IH16" s="285" t="s">
        <v>2364</v>
      </c>
      <c r="II16" s="288" t="s">
        <v>2363</v>
      </c>
      <c r="IJ16" s="285" t="s">
        <v>2364</v>
      </c>
      <c r="IK16" s="288" t="s">
        <v>2363</v>
      </c>
      <c r="IL16" s="285" t="s">
        <v>2364</v>
      </c>
      <c r="IM16" s="288" t="s">
        <v>2363</v>
      </c>
      <c r="IN16" s="285" t="s">
        <v>2364</v>
      </c>
      <c r="IO16" s="288" t="s">
        <v>2363</v>
      </c>
      <c r="IP16" s="285" t="s">
        <v>2364</v>
      </c>
      <c r="IQ16" s="288" t="s">
        <v>2363</v>
      </c>
      <c r="IR16" s="285" t="s">
        <v>2364</v>
      </c>
      <c r="IS16" s="288" t="s">
        <v>2363</v>
      </c>
      <c r="IT16" s="285" t="s">
        <v>2364</v>
      </c>
      <c r="IU16" s="288" t="s">
        <v>2363</v>
      </c>
      <c r="IV16" s="285" t="s">
        <v>2364</v>
      </c>
    </row>
    <row r="17" spans="1:256" ht="15.75" x14ac:dyDescent="0.25">
      <c r="A17" s="729" t="s">
        <v>2365</v>
      </c>
      <c r="B17" s="476" t="s">
        <v>2366</v>
      </c>
      <c r="C17" s="475" t="s">
        <v>2367</v>
      </c>
      <c r="D17" s="719" t="s">
        <v>2368</v>
      </c>
      <c r="E17" s="477" t="s">
        <v>688</v>
      </c>
      <c r="F17" s="297" t="s">
        <v>2369</v>
      </c>
      <c r="G17" s="720"/>
      <c r="H17" s="721" t="s">
        <v>2370</v>
      </c>
      <c r="I17" s="520"/>
      <c r="J17" s="721"/>
      <c r="K17" s="288"/>
      <c r="L17" s="285"/>
      <c r="M17" s="288"/>
      <c r="N17" s="815"/>
      <c r="O17" s="288"/>
      <c r="P17" s="285"/>
      <c r="Q17" s="288"/>
      <c r="R17" s="285"/>
      <c r="S17" s="720"/>
      <c r="T17" s="721"/>
      <c r="U17" s="720"/>
      <c r="V17" s="721"/>
      <c r="W17" s="720"/>
      <c r="X17" s="721"/>
      <c r="Y17" s="720"/>
      <c r="Z17" s="721"/>
      <c r="AA17" s="720"/>
      <c r="AB17" s="721"/>
      <c r="AC17" s="720"/>
      <c r="AD17" s="721"/>
      <c r="AE17" s="720"/>
      <c r="AF17" s="721"/>
      <c r="AG17" s="720"/>
      <c r="AH17" s="721"/>
      <c r="AI17" s="720"/>
      <c r="AJ17" s="721"/>
      <c r="AK17" s="720"/>
      <c r="AL17" s="721"/>
      <c r="AM17" s="720"/>
      <c r="AN17" s="721"/>
      <c r="AO17" s="720"/>
      <c r="AP17" s="721"/>
      <c r="AQ17" s="720"/>
      <c r="AR17" s="721"/>
      <c r="AS17" s="720"/>
      <c r="AT17" s="721"/>
      <c r="AU17" s="720"/>
      <c r="AV17" s="721"/>
      <c r="AW17" s="720"/>
      <c r="AX17" s="721"/>
      <c r="AY17" s="720"/>
      <c r="AZ17" s="721"/>
      <c r="BA17" s="720"/>
      <c r="BB17" s="721"/>
      <c r="BC17" s="720"/>
      <c r="BD17" s="721"/>
      <c r="BE17" s="720"/>
      <c r="BF17" s="721"/>
      <c r="BG17" s="720"/>
      <c r="BH17" s="721"/>
      <c r="BI17" s="720"/>
      <c r="BJ17" s="721"/>
      <c r="BK17" s="720"/>
      <c r="BL17" s="721"/>
      <c r="BM17" s="720"/>
      <c r="BN17" s="721"/>
      <c r="BO17" s="720"/>
      <c r="BP17" s="721"/>
      <c r="BQ17" s="720"/>
      <c r="BR17" s="721"/>
      <c r="BS17" s="720"/>
      <c r="BT17" s="721"/>
      <c r="BU17" s="720"/>
      <c r="BV17" s="721"/>
      <c r="BW17" s="720"/>
      <c r="BX17" s="721"/>
      <c r="BY17" s="720"/>
      <c r="BZ17" s="721"/>
      <c r="CA17" s="720"/>
      <c r="CB17" s="721"/>
      <c r="CC17" s="720"/>
      <c r="CD17" s="721"/>
      <c r="CE17" s="720"/>
      <c r="CF17" s="721"/>
      <c r="CG17" s="720"/>
      <c r="CH17" s="721"/>
      <c r="CI17" s="720"/>
      <c r="CJ17" s="721"/>
      <c r="CK17" s="720"/>
      <c r="CL17" s="721"/>
      <c r="CM17" s="720"/>
      <c r="CN17" s="721"/>
      <c r="CO17" s="720"/>
      <c r="CP17" s="721"/>
      <c r="CQ17" s="720"/>
      <c r="CR17" s="721"/>
      <c r="CS17" s="720"/>
      <c r="CT17" s="721"/>
      <c r="CU17" s="720"/>
      <c r="CV17" s="721"/>
      <c r="CW17" s="720"/>
      <c r="CX17" s="721"/>
      <c r="CY17" s="720"/>
      <c r="CZ17" s="721"/>
      <c r="DA17" s="720"/>
      <c r="DB17" s="721"/>
      <c r="DC17" s="720"/>
      <c r="DD17" s="721"/>
      <c r="DE17" s="720"/>
      <c r="DF17" s="721"/>
      <c r="DG17" s="720"/>
      <c r="DH17" s="721"/>
      <c r="DI17" s="720"/>
      <c r="DJ17" s="721"/>
      <c r="DK17" s="720"/>
      <c r="DL17" s="721"/>
      <c r="DM17" s="720"/>
      <c r="DN17" s="721"/>
      <c r="DO17" s="720"/>
      <c r="DP17" s="721"/>
      <c r="DQ17" s="720"/>
      <c r="DR17" s="721"/>
      <c r="DS17" s="720"/>
      <c r="DT17" s="721"/>
      <c r="DU17" s="720"/>
      <c r="DV17" s="721"/>
      <c r="DW17" s="720"/>
      <c r="DX17" s="721"/>
      <c r="DY17" s="720"/>
      <c r="DZ17" s="721"/>
      <c r="EA17" s="720"/>
      <c r="EB17" s="721"/>
      <c r="EC17" s="720"/>
      <c r="ED17" s="721"/>
      <c r="EE17" s="720"/>
      <c r="EF17" s="721"/>
      <c r="EG17" s="720"/>
      <c r="EH17" s="721"/>
      <c r="EI17" s="720"/>
      <c r="EJ17" s="721"/>
      <c r="EK17" s="720"/>
      <c r="EL17" s="721"/>
      <c r="EM17" s="720"/>
      <c r="EN17" s="721"/>
      <c r="EO17" s="720"/>
      <c r="EP17" s="721"/>
      <c r="EQ17" s="720"/>
      <c r="ER17" s="721"/>
      <c r="ES17" s="720"/>
      <c r="ET17" s="721"/>
      <c r="EU17" s="720"/>
      <c r="EV17" s="721"/>
      <c r="EW17" s="720"/>
      <c r="EX17" s="721"/>
      <c r="EY17" s="720"/>
      <c r="EZ17" s="721"/>
      <c r="FA17" s="720"/>
      <c r="FB17" s="721"/>
      <c r="FC17" s="720"/>
      <c r="FD17" s="721"/>
      <c r="FE17" s="720"/>
      <c r="FF17" s="721"/>
      <c r="FG17" s="720"/>
      <c r="FH17" s="721"/>
      <c r="FI17" s="720"/>
      <c r="FJ17" s="721"/>
      <c r="FK17" s="720"/>
      <c r="FL17" s="721"/>
      <c r="FM17" s="720"/>
      <c r="FN17" s="721"/>
      <c r="FO17" s="720"/>
      <c r="FP17" s="721"/>
      <c r="FQ17" s="720"/>
      <c r="FR17" s="721"/>
      <c r="FS17" s="720"/>
      <c r="FT17" s="721"/>
      <c r="FU17" s="720"/>
      <c r="FV17" s="721"/>
      <c r="FW17" s="720"/>
      <c r="FX17" s="721"/>
      <c r="FY17" s="720"/>
      <c r="FZ17" s="721"/>
      <c r="GA17" s="720"/>
      <c r="GB17" s="721"/>
      <c r="GC17" s="720"/>
      <c r="GD17" s="721"/>
      <c r="GE17" s="720"/>
      <c r="GF17" s="721"/>
      <c r="GG17" s="720"/>
      <c r="GH17" s="721"/>
      <c r="GI17" s="720"/>
      <c r="GJ17" s="721"/>
      <c r="GK17" s="720"/>
      <c r="GL17" s="721"/>
      <c r="GM17" s="720"/>
      <c r="GN17" s="721"/>
      <c r="GO17" s="720"/>
      <c r="GP17" s="721"/>
      <c r="GQ17" s="720"/>
      <c r="GR17" s="721"/>
      <c r="GS17" s="720"/>
      <c r="GT17" s="721"/>
      <c r="GU17" s="720"/>
      <c r="GV17" s="721"/>
      <c r="GW17" s="720"/>
      <c r="GX17" s="721"/>
      <c r="GY17" s="720"/>
      <c r="GZ17" s="721"/>
      <c r="HA17" s="720"/>
      <c r="HB17" s="721"/>
      <c r="HC17" s="720"/>
      <c r="HD17" s="721"/>
      <c r="HE17" s="720"/>
      <c r="HF17" s="721"/>
      <c r="HG17" s="720"/>
      <c r="HH17" s="721"/>
      <c r="HI17" s="720"/>
      <c r="HJ17" s="721"/>
      <c r="HK17" s="720"/>
      <c r="HL17" s="721"/>
      <c r="HM17" s="720"/>
      <c r="HN17" s="721"/>
      <c r="HO17" s="720"/>
      <c r="HP17" s="721"/>
      <c r="HQ17" s="720"/>
      <c r="HR17" s="721"/>
      <c r="HS17" s="720"/>
      <c r="HT17" s="721"/>
      <c r="HU17" s="720"/>
      <c r="HV17" s="721"/>
      <c r="HW17" s="720"/>
      <c r="HX17" s="721"/>
      <c r="HY17" s="720"/>
      <c r="HZ17" s="721"/>
      <c r="IA17" s="720"/>
      <c r="IB17" s="721"/>
      <c r="IC17" s="720"/>
      <c r="ID17" s="721"/>
      <c r="IE17" s="720"/>
      <c r="IF17" s="721"/>
      <c r="IG17" s="720"/>
      <c r="IH17" s="721"/>
      <c r="II17" s="720"/>
      <c r="IJ17" s="721"/>
      <c r="IK17" s="720"/>
      <c r="IL17" s="721"/>
      <c r="IM17" s="720"/>
      <c r="IN17" s="721"/>
      <c r="IO17" s="720"/>
      <c r="IP17" s="721"/>
      <c r="IQ17" s="720"/>
      <c r="IR17" s="721"/>
      <c r="IS17" s="720"/>
      <c r="IT17" s="721"/>
      <c r="IU17" s="720"/>
      <c r="IV17" s="721"/>
    </row>
    <row r="18" spans="1:256" s="480" customFormat="1" ht="31.5" customHeight="1" x14ac:dyDescent="0.25">
      <c r="A18" s="729" t="s">
        <v>2371</v>
      </c>
      <c r="B18" s="476" t="s">
        <v>2372</v>
      </c>
      <c r="C18" s="475" t="s">
        <v>2373</v>
      </c>
      <c r="D18" s="719" t="s">
        <v>2374</v>
      </c>
      <c r="E18" s="477" t="s">
        <v>688</v>
      </c>
      <c r="F18" s="297" t="s">
        <v>2369</v>
      </c>
      <c r="G18" s="720"/>
      <c r="H18" s="721" t="s">
        <v>2370</v>
      </c>
      <c r="I18" s="520"/>
      <c r="J18" s="721"/>
      <c r="K18" s="477"/>
      <c r="L18" s="444"/>
      <c r="M18" s="478" t="s">
        <v>2375</v>
      </c>
      <c r="N18" s="521">
        <v>45645</v>
      </c>
      <c r="O18" s="522" t="s">
        <v>66</v>
      </c>
      <c r="P18" s="522"/>
      <c r="Q18" s="523"/>
      <c r="R18" s="478"/>
      <c r="S18" s="479"/>
      <c r="T18" s="479"/>
    </row>
    <row r="19" spans="1:256" s="480" customFormat="1" ht="32.25" customHeight="1" x14ac:dyDescent="0.25">
      <c r="A19" s="729" t="s">
        <v>2376</v>
      </c>
      <c r="B19" s="476" t="s">
        <v>2377</v>
      </c>
      <c r="C19" s="475" t="s">
        <v>2373</v>
      </c>
      <c r="D19" s="719" t="s">
        <v>2374</v>
      </c>
      <c r="E19" s="722"/>
      <c r="F19" s="297"/>
      <c r="G19" s="720"/>
      <c r="H19" s="721"/>
      <c r="I19" s="723"/>
      <c r="J19" s="721"/>
      <c r="K19" s="722"/>
      <c r="L19" s="724"/>
      <c r="M19" s="725"/>
      <c r="N19" s="726"/>
      <c r="O19" s="727"/>
      <c r="P19" s="727"/>
      <c r="Q19" s="728"/>
      <c r="R19" s="725"/>
      <c r="S19" s="479"/>
      <c r="T19" s="479"/>
    </row>
    <row r="20" spans="1:256" s="480" customFormat="1" ht="44.25" customHeight="1" x14ac:dyDescent="0.25">
      <c r="A20" s="729" t="s">
        <v>2378</v>
      </c>
      <c r="B20" s="476" t="s">
        <v>2379</v>
      </c>
      <c r="C20" s="475" t="s">
        <v>2380</v>
      </c>
      <c r="D20" s="719" t="s">
        <v>2374</v>
      </c>
      <c r="E20" s="722"/>
      <c r="F20" s="297"/>
      <c r="G20" s="720"/>
      <c r="H20" s="721"/>
      <c r="I20" s="723"/>
      <c r="J20" s="721"/>
      <c r="K20" s="722"/>
      <c r="L20" s="724"/>
      <c r="M20" s="725"/>
      <c r="N20" s="726"/>
      <c r="O20" s="727"/>
      <c r="P20" s="727"/>
      <c r="Q20" s="728"/>
      <c r="R20" s="725"/>
      <c r="S20" s="479"/>
      <c r="T20" s="479"/>
    </row>
    <row r="21" spans="1:256" x14ac:dyDescent="0.2">
      <c r="A21" s="1966" t="s">
        <v>2381</v>
      </c>
      <c r="B21" s="1966"/>
      <c r="C21" s="1966"/>
    </row>
    <row r="22" spans="1:256" x14ac:dyDescent="0.2">
      <c r="A22" s="243" t="s">
        <v>2382</v>
      </c>
      <c r="B22" s="1967" t="s">
        <v>2383</v>
      </c>
      <c r="C22" s="1967"/>
    </row>
    <row r="23" spans="1:256" x14ac:dyDescent="0.2">
      <c r="A23" s="243" t="s">
        <v>2384</v>
      </c>
      <c r="B23" s="1967" t="s">
        <v>2383</v>
      </c>
      <c r="C23" s="1975"/>
    </row>
    <row r="24" spans="1:256" x14ac:dyDescent="0.2">
      <c r="A24" s="243" t="s">
        <v>2385</v>
      </c>
      <c r="B24" s="1967" t="s">
        <v>2383</v>
      </c>
      <c r="C24" s="1975"/>
    </row>
    <row r="25" spans="1:256" x14ac:dyDescent="0.2">
      <c r="A25" s="243" t="s">
        <v>2386</v>
      </c>
      <c r="B25" s="1967" t="s">
        <v>2387</v>
      </c>
      <c r="C25" s="1975"/>
    </row>
    <row r="26" spans="1:256" x14ac:dyDescent="0.2">
      <c r="A26" s="1090" t="s">
        <v>2388</v>
      </c>
      <c r="B26" s="1976" t="s">
        <v>2387</v>
      </c>
      <c r="C26" s="1977"/>
    </row>
    <row r="27" spans="1:256" x14ac:dyDescent="0.2">
      <c r="A27" s="964" t="s">
        <v>2389</v>
      </c>
      <c r="B27" s="1952" t="s">
        <v>2390</v>
      </c>
      <c r="C27" s="1953"/>
    </row>
    <row r="28" spans="1:256" x14ac:dyDescent="0.2">
      <c r="A28" s="964" t="s">
        <v>560</v>
      </c>
      <c r="B28" s="1952" t="s">
        <v>2391</v>
      </c>
      <c r="C28" s="1953"/>
    </row>
  </sheetData>
  <sheetProtection insertRows="0"/>
  <mergeCells count="16">
    <mergeCell ref="B27:C27"/>
    <mergeCell ref="B28:C28"/>
    <mergeCell ref="D1:H4"/>
    <mergeCell ref="D6:D9"/>
    <mergeCell ref="A21:C21"/>
    <mergeCell ref="B22:C22"/>
    <mergeCell ref="B4:C4"/>
    <mergeCell ref="C6:C9"/>
    <mergeCell ref="B1:C1"/>
    <mergeCell ref="B2:C2"/>
    <mergeCell ref="B3:C3"/>
    <mergeCell ref="B23:C23"/>
    <mergeCell ref="B24:C24"/>
    <mergeCell ref="B25:C25"/>
    <mergeCell ref="B26:C26"/>
    <mergeCell ref="E6:E9"/>
  </mergeCells>
  <phoneticPr fontId="5" type="noConversion"/>
  <conditionalFormatting sqref="G11">
    <cfRule type="cellIs" dxfId="43" priority="17" stopIfTrue="1" operator="lessThan">
      <formula>#REF!</formula>
    </cfRule>
  </conditionalFormatting>
  <conditionalFormatting sqref="E17:E20">
    <cfRule type="containsText" dxfId="42" priority="4" stopIfTrue="1" operator="containsText" text="DEPLOYED">
      <formula>NOT(ISERROR(SEARCH("DEPLOYED",E17)))</formula>
    </cfRule>
    <cfRule type="containsText" dxfId="41" priority="5" stopIfTrue="1" operator="containsText" text="Inspection/cal">
      <formula>NOT(ISERROR(SEARCH("Inspection/cal",E17)))</formula>
    </cfRule>
    <cfRule type="containsText" dxfId="40" priority="6" stopIfTrue="1" operator="containsText" text="U/S">
      <formula>NOT(ISERROR(SEARCH("U/S",E17)))</formula>
    </cfRule>
    <cfRule type="containsText" dxfId="39" priority="7" stopIfTrue="1" operator="containsText" text="S">
      <formula>NOT(ISERROR(SEARCH("S",E17)))</formula>
    </cfRule>
  </conditionalFormatting>
  <conditionalFormatting sqref="B17:B20">
    <cfRule type="expression" dxfId="38" priority="1" stopIfTrue="1">
      <formula>$B17&gt;TODAY()+30</formula>
    </cfRule>
    <cfRule type="expression" dxfId="37" priority="2" stopIfTrue="1">
      <formula>AND(B17&gt;=TODAY()+1, B17&lt;=TODAY()+30)</formula>
    </cfRule>
    <cfRule type="expression" dxfId="36" priority="3" stopIfTrue="1">
      <formula>$B17&lt;=TODAY()</formula>
    </cfRule>
  </conditionalFormatting>
  <dataValidations count="3">
    <dataValidation type="list" showErrorMessage="1" errorTitle="Invalid Entry" error="Please only choose _x000a_S, U/S, DEPLOYED, and PAST INSP DUE" promptTitle="Current Item Condition " prompt="Please, Indicates current item's condition._x000a__x000a_S = Serviceable_x000a__x000a_U/S = UnServiceable/Damaged/under repair/replacement required_x000a__x000a_Deployed = RIP/HLTA/Temp Loan to remote locations_x000a__x000a_Petes rule _x000a__x000a_Past Insp Due = item pass the it's inspection date due  " sqref="E12:E16" xr:uid="{BCB469BF-A1B7-4BC3-BE44-01BB911467A0}">
      <formula1>$M$4:$M$9</formula1>
    </dataValidation>
    <dataValidation type="list" allowBlank="1" showInputMessage="1" showErrorMessage="1" errorTitle="Sorry" error="Sorry, Use One of Listed Values" promptTitle="Please Select Location" prompt="6 Hanger_x000a_1 Hanger_x000a_47 North Start Drive_x000a_7 Hanger Shelter_x000a_TEME_x000a_Deployed_x000a_North Ramp_x000a_West Ramp_x000a_6 Hanger POL Room_x000a_Supply to or from Pylon" sqref="K18:K20" xr:uid="{068F9824-C250-42F0-BB56-0F6D86048B98}">
      <formula1>$S$1:$S$9</formula1>
    </dataValidation>
    <dataValidation type="list" showErrorMessage="1" errorTitle="Invalid Entry" error="Please only choose _x000a_S, U/S, DEPLOYED, and PAST INSP DUE" promptTitle="Current Item Condition " prompt="Please, Indicates current item's condition._x000a__x000a_S = Serviceable_x000a__x000a_U/S = UnServiceable/Damaged/under repair/replacement required_x000a__x000a_Deployed = RIP/HLTA/Temp Loan to remote locations_x000a__x000a_Petes rule _x000a__x000a_Past Insp Due = item pass the it's inspection date due  " sqref="E17:E20" xr:uid="{D5658879-79FC-48F7-A6B1-9E502691079B}">
      <formula1>$O$2:$O$6</formula1>
    </dataValidation>
  </dataValidations>
  <printOptions horizontalCentered="1"/>
  <pageMargins left="0.75" right="0.75" top="1" bottom="1" header="0.5" footer="0.5"/>
  <pageSetup scale="70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CD917-03C4-4F71-8BF2-D4324FEA686B}">
  <sheetPr codeName="Sheet17">
    <tabColor indexed="44"/>
    <pageSetUpPr fitToPage="1"/>
  </sheetPr>
  <dimension ref="A1:AT55"/>
  <sheetViews>
    <sheetView topLeftCell="C14" zoomScale="85" zoomScaleNormal="85" workbookViewId="0">
      <selection activeCell="C46" sqref="C46"/>
    </sheetView>
  </sheetViews>
  <sheetFormatPr defaultRowHeight="12.75" x14ac:dyDescent="0.2"/>
  <cols>
    <col min="1" max="1" width="9.5703125" style="167" customWidth="1"/>
    <col min="2" max="2" width="12.5703125" style="167" customWidth="1"/>
    <col min="3" max="3" width="37.85546875" style="3" customWidth="1"/>
    <col min="4" max="4" width="13.7109375" customWidth="1"/>
    <col min="5" max="5" width="6.28515625" style="2" customWidth="1"/>
    <col min="6" max="6" width="5.5703125" style="2" customWidth="1"/>
    <col min="7" max="7" width="6" style="2" customWidth="1"/>
    <col min="8" max="8" width="9.28515625" style="2" hidden="1" customWidth="1"/>
    <col min="9" max="10" width="9.7109375" style="2" hidden="1" customWidth="1"/>
    <col min="11" max="11" width="54.140625" customWidth="1"/>
    <col min="12" max="13" width="37.85546875" style="3" customWidth="1"/>
    <col min="14" max="15" width="12.42578125" customWidth="1"/>
  </cols>
  <sheetData>
    <row r="1" spans="1:15" ht="20.25" x14ac:dyDescent="0.3">
      <c r="A1" s="2000" t="s">
        <v>2392</v>
      </c>
      <c r="B1" s="2000"/>
      <c r="C1" s="2000"/>
      <c r="D1" s="2000"/>
      <c r="E1" s="2000"/>
      <c r="F1" s="2000"/>
      <c r="G1" s="2000"/>
      <c r="H1" s="2000"/>
      <c r="I1" s="2000"/>
      <c r="J1" s="2000"/>
      <c r="K1" s="2000"/>
      <c r="L1" s="2"/>
      <c r="M1" s="2"/>
      <c r="N1" s="127">
        <f ca="1">TODAY()</f>
        <v>46183</v>
      </c>
      <c r="O1" s="127">
        <f ca="1">TODAY()+61</f>
        <v>46244</v>
      </c>
    </row>
    <row r="2" spans="1:15" x14ac:dyDescent="0.2">
      <c r="A2" s="1663" t="s">
        <v>2393</v>
      </c>
      <c r="B2" s="1663"/>
      <c r="C2" s="2001"/>
      <c r="D2" s="2001"/>
      <c r="E2" s="2001"/>
      <c r="F2" s="2001"/>
      <c r="G2" s="2001"/>
      <c r="H2" s="2001"/>
      <c r="I2" s="2001"/>
      <c r="J2" s="2001"/>
      <c r="K2" s="2001"/>
      <c r="L2" s="2"/>
      <c r="M2" s="2"/>
      <c r="N2" s="15"/>
      <c r="O2" s="15"/>
    </row>
    <row r="3" spans="1:15" x14ac:dyDescent="0.2">
      <c r="A3" s="1663" t="s">
        <v>2394</v>
      </c>
      <c r="B3" s="1663"/>
      <c r="C3" s="2001"/>
      <c r="D3" s="2001"/>
      <c r="E3" s="2001"/>
      <c r="F3" s="2001"/>
      <c r="G3" s="2001"/>
      <c r="H3" s="2001"/>
      <c r="I3" s="2001"/>
      <c r="J3" s="2001"/>
      <c r="K3" s="2001"/>
      <c r="L3" s="2"/>
      <c r="M3" s="2"/>
      <c r="N3" s="2021" t="s">
        <v>2395</v>
      </c>
      <c r="O3" s="2022"/>
    </row>
    <row r="4" spans="1:15" x14ac:dyDescent="0.2">
      <c r="A4" s="1663" t="s">
        <v>2396</v>
      </c>
      <c r="B4" s="1663"/>
      <c r="C4" s="2001"/>
      <c r="D4" s="2001"/>
      <c r="E4" s="2001"/>
      <c r="F4" s="2001"/>
      <c r="G4" s="2001"/>
      <c r="H4" s="2001"/>
      <c r="I4" s="2001"/>
      <c r="J4" s="2001"/>
      <c r="K4" s="2001"/>
      <c r="L4" s="2"/>
      <c r="M4" s="2"/>
      <c r="N4" s="229" t="s">
        <v>682</v>
      </c>
      <c r="O4" s="137"/>
    </row>
    <row r="5" spans="1:15" x14ac:dyDescent="0.2">
      <c r="A5" s="2016" t="s">
        <v>2397</v>
      </c>
      <c r="B5" s="2017"/>
      <c r="C5" s="2018"/>
      <c r="D5" s="2005" t="s">
        <v>2398</v>
      </c>
      <c r="E5" s="2005"/>
      <c r="F5" s="2005"/>
      <c r="G5" s="2005"/>
      <c r="H5" s="2005"/>
      <c r="I5" s="2005"/>
      <c r="J5" s="2005"/>
      <c r="K5" s="2006"/>
      <c r="L5" s="2"/>
      <c r="M5" s="2"/>
      <c r="N5" s="229" t="s">
        <v>688</v>
      </c>
      <c r="O5" s="138"/>
    </row>
    <row r="6" spans="1:15" x14ac:dyDescent="0.2">
      <c r="A6" s="2009" t="s">
        <v>2397</v>
      </c>
      <c r="B6" s="2010"/>
      <c r="C6" s="2011"/>
      <c r="D6" s="2012"/>
      <c r="E6" s="2012"/>
      <c r="F6" s="2012"/>
      <c r="G6" s="2012"/>
      <c r="H6" s="2012"/>
      <c r="I6" s="2012"/>
      <c r="J6" s="2012"/>
      <c r="K6" s="2013"/>
      <c r="L6" s="2"/>
      <c r="M6" s="2"/>
      <c r="N6" s="229" t="s">
        <v>690</v>
      </c>
      <c r="O6" s="175"/>
    </row>
    <row r="7" spans="1:15" x14ac:dyDescent="0.2">
      <c r="A7" s="2002" t="s">
        <v>2397</v>
      </c>
      <c r="B7" s="2003"/>
      <c r="C7" s="2004"/>
      <c r="D7" s="2005"/>
      <c r="E7" s="2005"/>
      <c r="F7" s="2005"/>
      <c r="G7" s="2005"/>
      <c r="H7" s="2005"/>
      <c r="I7" s="2005"/>
      <c r="J7" s="2005"/>
      <c r="K7" s="2006"/>
      <c r="L7" s="2"/>
      <c r="M7" s="2"/>
      <c r="N7" s="229" t="s">
        <v>692</v>
      </c>
      <c r="O7" s="138"/>
    </row>
    <row r="8" spans="1:15" x14ac:dyDescent="0.2">
      <c r="A8" s="2019" t="s">
        <v>2397</v>
      </c>
      <c r="B8" s="2020"/>
      <c r="C8" s="2004"/>
      <c r="D8" s="2005"/>
      <c r="E8" s="2005"/>
      <c r="F8" s="2005"/>
      <c r="G8" s="2005"/>
      <c r="H8" s="2005"/>
      <c r="I8" s="2005"/>
      <c r="J8" s="2005"/>
      <c r="K8" s="2006"/>
      <c r="L8" s="2"/>
      <c r="M8" s="2"/>
      <c r="N8" s="127"/>
      <c r="O8" s="15"/>
    </row>
    <row r="9" spans="1:15" x14ac:dyDescent="0.2">
      <c r="A9" s="2014" t="s">
        <v>2397</v>
      </c>
      <c r="B9" s="2015"/>
      <c r="C9" s="2004"/>
      <c r="D9" s="2005"/>
      <c r="E9" s="2005"/>
      <c r="F9" s="2005"/>
      <c r="G9" s="2005"/>
      <c r="H9" s="2005"/>
      <c r="I9" s="2005"/>
      <c r="J9" s="2005"/>
      <c r="K9" s="2006"/>
      <c r="L9" s="2"/>
      <c r="M9" s="2"/>
      <c r="N9" s="15"/>
      <c r="O9" s="15"/>
    </row>
    <row r="10" spans="1:15" x14ac:dyDescent="0.2">
      <c r="A10" s="2007" t="s">
        <v>2397</v>
      </c>
      <c r="B10" s="2008"/>
      <c r="C10" s="2004"/>
      <c r="D10" s="2005"/>
      <c r="E10" s="2005"/>
      <c r="F10" s="2005"/>
      <c r="G10" s="2005"/>
      <c r="H10" s="2005"/>
      <c r="I10" s="2005"/>
      <c r="J10" s="2005"/>
      <c r="K10" s="2006"/>
      <c r="L10" s="2"/>
      <c r="M10" s="2"/>
    </row>
    <row r="11" spans="1:15" x14ac:dyDescent="0.2">
      <c r="A11" s="132" t="s">
        <v>2399</v>
      </c>
      <c r="B11" s="132" t="s">
        <v>2400</v>
      </c>
      <c r="C11" s="131" t="s">
        <v>7</v>
      </c>
      <c r="D11" s="21" t="s">
        <v>8</v>
      </c>
      <c r="E11" s="5" t="s">
        <v>9</v>
      </c>
      <c r="F11" s="5" t="s">
        <v>10</v>
      </c>
      <c r="G11" s="5" t="s">
        <v>11</v>
      </c>
      <c r="H11" s="5" t="s">
        <v>12</v>
      </c>
      <c r="I11" s="5" t="s">
        <v>13</v>
      </c>
      <c r="J11" s="144"/>
      <c r="K11" s="220" t="s">
        <v>1952</v>
      </c>
      <c r="L11" s="131" t="s">
        <v>2401</v>
      </c>
      <c r="M11" s="131" t="s">
        <v>2402</v>
      </c>
    </row>
    <row r="12" spans="1:15" ht="27" customHeight="1" x14ac:dyDescent="0.2">
      <c r="A12" s="173" t="s">
        <v>407</v>
      </c>
      <c r="B12" s="173" t="s">
        <v>2403</v>
      </c>
      <c r="C12" s="164" t="s">
        <v>2404</v>
      </c>
      <c r="D12" s="235" t="s">
        <v>682</v>
      </c>
      <c r="E12" s="168">
        <v>1</v>
      </c>
      <c r="F12" s="169">
        <v>1</v>
      </c>
      <c r="G12" s="170">
        <f>COUNTIF(D12,"S")</f>
        <v>1</v>
      </c>
      <c r="H12" s="105"/>
      <c r="I12" s="105"/>
      <c r="J12" s="174"/>
      <c r="K12" s="212" t="s">
        <v>2405</v>
      </c>
      <c r="L12" s="164" t="s">
        <v>2406</v>
      </c>
      <c r="M12" s="164"/>
    </row>
    <row r="13" spans="1:15" ht="25.5" customHeight="1" x14ac:dyDescent="0.2">
      <c r="A13" s="173" t="s">
        <v>2407</v>
      </c>
      <c r="B13" s="173" t="s">
        <v>2408</v>
      </c>
      <c r="C13" s="164" t="s">
        <v>2409</v>
      </c>
      <c r="D13" s="235" t="s">
        <v>682</v>
      </c>
      <c r="E13" s="168">
        <v>1</v>
      </c>
      <c r="F13" s="169">
        <v>1</v>
      </c>
      <c r="G13" s="170">
        <v>1</v>
      </c>
      <c r="H13" s="105"/>
      <c r="I13" s="105"/>
      <c r="J13" s="174"/>
      <c r="K13" s="212" t="s">
        <v>2405</v>
      </c>
      <c r="L13" s="164" t="s">
        <v>2410</v>
      </c>
      <c r="M13" s="164"/>
    </row>
    <row r="14" spans="1:15" ht="24.75" customHeight="1" x14ac:dyDescent="0.2">
      <c r="A14" s="173" t="s">
        <v>2411</v>
      </c>
      <c r="B14" s="173" t="s">
        <v>2412</v>
      </c>
      <c r="C14" s="164" t="s">
        <v>2413</v>
      </c>
      <c r="D14" s="235" t="s">
        <v>682</v>
      </c>
      <c r="E14" s="168">
        <v>1</v>
      </c>
      <c r="F14" s="169">
        <v>1</v>
      </c>
      <c r="G14" s="236">
        <v>1</v>
      </c>
      <c r="H14" s="105"/>
      <c r="I14" s="105"/>
      <c r="J14" s="174"/>
      <c r="K14" s="212" t="s">
        <v>2405</v>
      </c>
      <c r="L14" s="164" t="s">
        <v>2414</v>
      </c>
      <c r="M14" s="164"/>
    </row>
    <row r="15" spans="1:15" x14ac:dyDescent="0.2">
      <c r="A15" s="173" t="s">
        <v>2415</v>
      </c>
      <c r="B15" s="173"/>
      <c r="C15" s="1981" t="s">
        <v>2416</v>
      </c>
      <c r="D15" s="235" t="s">
        <v>682</v>
      </c>
      <c r="E15" s="1990">
        <v>3</v>
      </c>
      <c r="F15" s="1993">
        <v>1</v>
      </c>
      <c r="G15" s="1986">
        <v>3</v>
      </c>
      <c r="H15" s="1984"/>
      <c r="I15" s="1984"/>
      <c r="J15" s="174"/>
      <c r="K15" s="212"/>
      <c r="L15" s="1981" t="s">
        <v>2417</v>
      </c>
      <c r="M15" s="1981" t="s">
        <v>2418</v>
      </c>
    </row>
    <row r="16" spans="1:15" x14ac:dyDescent="0.2">
      <c r="A16" s="173" t="s">
        <v>2419</v>
      </c>
      <c r="B16" s="206" t="s">
        <v>2420</v>
      </c>
      <c r="C16" s="1982"/>
      <c r="D16" s="235" t="s">
        <v>682</v>
      </c>
      <c r="E16" s="1991"/>
      <c r="F16" s="1994"/>
      <c r="G16" s="1989"/>
      <c r="H16" s="1988"/>
      <c r="I16" s="1988"/>
      <c r="J16" s="174"/>
      <c r="K16" s="212" t="s">
        <v>2405</v>
      </c>
      <c r="L16" s="1982"/>
      <c r="M16" s="1982"/>
    </row>
    <row r="17" spans="1:13" x14ac:dyDescent="0.2">
      <c r="A17" s="173" t="s">
        <v>2421</v>
      </c>
      <c r="B17" s="206"/>
      <c r="C17" s="1983"/>
      <c r="D17" s="235" t="s">
        <v>682</v>
      </c>
      <c r="E17" s="1992"/>
      <c r="F17" s="1995"/>
      <c r="G17" s="1987"/>
      <c r="H17" s="1985"/>
      <c r="I17" s="1985"/>
      <c r="J17" s="174"/>
      <c r="K17" s="212"/>
      <c r="L17" s="1983"/>
      <c r="M17" s="1983"/>
    </row>
    <row r="18" spans="1:13" ht="12.75" customHeight="1" x14ac:dyDescent="0.2">
      <c r="A18" s="173" t="s">
        <v>2422</v>
      </c>
      <c r="B18" s="173" t="s">
        <v>2423</v>
      </c>
      <c r="C18" s="1981" t="s">
        <v>2424</v>
      </c>
      <c r="D18" s="235" t="s">
        <v>682</v>
      </c>
      <c r="E18" s="1990">
        <v>2</v>
      </c>
      <c r="F18" s="1993">
        <v>1</v>
      </c>
      <c r="G18" s="1986">
        <v>1</v>
      </c>
      <c r="H18" s="1984"/>
      <c r="I18" s="1984"/>
      <c r="J18" s="174"/>
      <c r="K18" s="212" t="s">
        <v>2405</v>
      </c>
      <c r="L18" s="164" t="s">
        <v>2425</v>
      </c>
      <c r="M18" s="1981"/>
    </row>
    <row r="19" spans="1:13" x14ac:dyDescent="0.2">
      <c r="A19" s="173" t="s">
        <v>2426</v>
      </c>
      <c r="B19" s="206"/>
      <c r="C19" s="1983"/>
      <c r="D19" s="235" t="s">
        <v>682</v>
      </c>
      <c r="E19" s="1992"/>
      <c r="F19" s="1995"/>
      <c r="G19" s="1987"/>
      <c r="H19" s="1985"/>
      <c r="I19" s="1985"/>
      <c r="J19" s="174"/>
      <c r="K19" s="212"/>
      <c r="L19" s="165" t="s">
        <v>2427</v>
      </c>
      <c r="M19" s="1983"/>
    </row>
    <row r="20" spans="1:13" x14ac:dyDescent="0.2">
      <c r="A20" s="173" t="s">
        <v>2428</v>
      </c>
      <c r="B20" s="173"/>
      <c r="C20" s="1981" t="s">
        <v>2429</v>
      </c>
      <c r="D20" s="235" t="s">
        <v>682</v>
      </c>
      <c r="E20" s="1990">
        <v>3</v>
      </c>
      <c r="F20" s="1993">
        <v>1</v>
      </c>
      <c r="G20" s="1986">
        <v>3</v>
      </c>
      <c r="H20" s="1984"/>
      <c r="I20" s="1984"/>
      <c r="J20" s="174"/>
      <c r="K20" s="212"/>
      <c r="L20" s="1981" t="s">
        <v>2430</v>
      </c>
      <c r="M20" s="1981"/>
    </row>
    <row r="21" spans="1:13" x14ac:dyDescent="0.2">
      <c r="A21" s="173" t="s">
        <v>2431</v>
      </c>
      <c r="B21" s="206" t="s">
        <v>2432</v>
      </c>
      <c r="C21" s="1982"/>
      <c r="D21" s="235" t="s">
        <v>682</v>
      </c>
      <c r="E21" s="1991"/>
      <c r="F21" s="1994"/>
      <c r="G21" s="1989"/>
      <c r="H21" s="1988"/>
      <c r="I21" s="1988"/>
      <c r="J21" s="174"/>
      <c r="K21" s="212" t="s">
        <v>2405</v>
      </c>
      <c r="L21" s="1982"/>
      <c r="M21" s="1982"/>
    </row>
    <row r="22" spans="1:13" x14ac:dyDescent="0.2">
      <c r="A22" s="173" t="s">
        <v>2433</v>
      </c>
      <c r="B22" s="206"/>
      <c r="C22" s="1983"/>
      <c r="D22" s="235" t="s">
        <v>682</v>
      </c>
      <c r="E22" s="1992"/>
      <c r="F22" s="1995"/>
      <c r="G22" s="1987"/>
      <c r="H22" s="1985"/>
      <c r="I22" s="1985"/>
      <c r="J22" s="174"/>
      <c r="K22" s="212"/>
      <c r="L22" s="1983"/>
      <c r="M22" s="1983"/>
    </row>
    <row r="23" spans="1:13" x14ac:dyDescent="0.2">
      <c r="A23" s="173" t="s">
        <v>2434</v>
      </c>
      <c r="B23" s="173"/>
      <c r="C23" s="1981" t="s">
        <v>2435</v>
      </c>
      <c r="D23" s="235" t="s">
        <v>682</v>
      </c>
      <c r="E23" s="1990">
        <v>3</v>
      </c>
      <c r="F23" s="1993">
        <v>1</v>
      </c>
      <c r="G23" s="1986">
        <v>1</v>
      </c>
      <c r="H23" s="1984"/>
      <c r="I23" s="1984"/>
      <c r="J23" s="174"/>
      <c r="K23" s="212" t="s">
        <v>2436</v>
      </c>
      <c r="L23" s="164" t="s">
        <v>2437</v>
      </c>
      <c r="M23" s="1981"/>
    </row>
    <row r="24" spans="1:13" x14ac:dyDescent="0.2">
      <c r="A24" s="173" t="s">
        <v>2438</v>
      </c>
      <c r="B24" s="206" t="s">
        <v>2439</v>
      </c>
      <c r="C24" s="1982"/>
      <c r="D24" s="235" t="s">
        <v>682</v>
      </c>
      <c r="E24" s="1991"/>
      <c r="F24" s="1994"/>
      <c r="G24" s="1989"/>
      <c r="H24" s="1988"/>
      <c r="I24" s="1988"/>
      <c r="J24" s="174"/>
      <c r="K24" s="212" t="s">
        <v>2440</v>
      </c>
      <c r="L24" s="225" t="s">
        <v>2437</v>
      </c>
      <c r="M24" s="1982"/>
    </row>
    <row r="25" spans="1:13" x14ac:dyDescent="0.2">
      <c r="A25" s="173" t="s">
        <v>2441</v>
      </c>
      <c r="B25" s="206"/>
      <c r="C25" s="1983"/>
      <c r="D25" s="235" t="s">
        <v>682</v>
      </c>
      <c r="E25" s="1992"/>
      <c r="F25" s="1995"/>
      <c r="G25" s="1987"/>
      <c r="H25" s="1985"/>
      <c r="I25" s="1985"/>
      <c r="J25" s="174"/>
      <c r="K25" s="212"/>
      <c r="L25" s="165" t="s">
        <v>2437</v>
      </c>
      <c r="M25" s="1983"/>
    </row>
    <row r="26" spans="1:13" x14ac:dyDescent="0.2">
      <c r="A26" s="173" t="s">
        <v>2442</v>
      </c>
      <c r="B26" s="173" t="s">
        <v>2443</v>
      </c>
      <c r="C26" s="1981" t="s">
        <v>2444</v>
      </c>
      <c r="D26" s="235" t="s">
        <v>682</v>
      </c>
      <c r="E26" s="1990">
        <v>2</v>
      </c>
      <c r="F26" s="1993">
        <v>1</v>
      </c>
      <c r="G26" s="1986">
        <v>2</v>
      </c>
      <c r="H26" s="1984"/>
      <c r="I26" s="1984"/>
      <c r="J26" s="174"/>
      <c r="K26" s="212" t="s">
        <v>2405</v>
      </c>
      <c r="L26" s="1981" t="s">
        <v>2417</v>
      </c>
      <c r="M26" s="1981"/>
    </row>
    <row r="27" spans="1:13" x14ac:dyDescent="0.2">
      <c r="A27" s="173" t="s">
        <v>2445</v>
      </c>
      <c r="B27" s="206"/>
      <c r="C27" s="1983"/>
      <c r="D27" s="235" t="s">
        <v>682</v>
      </c>
      <c r="E27" s="1992"/>
      <c r="F27" s="1995"/>
      <c r="G27" s="1987"/>
      <c r="H27" s="1985"/>
      <c r="I27" s="1985"/>
      <c r="J27" s="174"/>
      <c r="K27" s="212"/>
      <c r="L27" s="1983"/>
      <c r="M27" s="1983"/>
    </row>
    <row r="28" spans="1:13" x14ac:dyDescent="0.2">
      <c r="A28" s="173" t="s">
        <v>2446</v>
      </c>
      <c r="B28" s="173"/>
      <c r="C28" s="1981" t="s">
        <v>2447</v>
      </c>
      <c r="D28" s="235" t="s">
        <v>682</v>
      </c>
      <c r="E28" s="1990">
        <v>4</v>
      </c>
      <c r="F28" s="1993">
        <v>2</v>
      </c>
      <c r="G28" s="1986">
        <v>4</v>
      </c>
      <c r="H28" s="1984"/>
      <c r="I28" s="1984"/>
      <c r="J28" s="174"/>
      <c r="K28" s="212"/>
      <c r="L28" s="1981" t="s">
        <v>2448</v>
      </c>
      <c r="M28" s="1981"/>
    </row>
    <row r="29" spans="1:13" x14ac:dyDescent="0.2">
      <c r="A29" s="173" t="s">
        <v>2449</v>
      </c>
      <c r="B29" s="206" t="s">
        <v>2450</v>
      </c>
      <c r="C29" s="1982"/>
      <c r="D29" s="235" t="s">
        <v>682</v>
      </c>
      <c r="E29" s="1991"/>
      <c r="F29" s="1994"/>
      <c r="G29" s="1989"/>
      <c r="H29" s="1988"/>
      <c r="I29" s="1988"/>
      <c r="J29" s="174"/>
      <c r="K29" s="212" t="s">
        <v>2405</v>
      </c>
      <c r="L29" s="1982"/>
      <c r="M29" s="1982"/>
    </row>
    <row r="30" spans="1:13" x14ac:dyDescent="0.2">
      <c r="A30" s="173" t="s">
        <v>2451</v>
      </c>
      <c r="B30" s="206"/>
      <c r="C30" s="1982"/>
      <c r="D30" s="235" t="s">
        <v>682</v>
      </c>
      <c r="E30" s="1991"/>
      <c r="F30" s="1994"/>
      <c r="G30" s="1989"/>
      <c r="H30" s="1988"/>
      <c r="I30" s="1988"/>
      <c r="J30" s="174"/>
      <c r="K30" s="212"/>
      <c r="L30" s="1982"/>
      <c r="M30" s="1982"/>
    </row>
    <row r="31" spans="1:13" x14ac:dyDescent="0.2">
      <c r="A31" s="173" t="s">
        <v>2452</v>
      </c>
      <c r="B31" s="206"/>
      <c r="C31" s="1983"/>
      <c r="D31" s="235" t="s">
        <v>682</v>
      </c>
      <c r="E31" s="1992"/>
      <c r="F31" s="1995"/>
      <c r="G31" s="1987"/>
      <c r="H31" s="1985"/>
      <c r="I31" s="1985"/>
      <c r="J31" s="174"/>
      <c r="K31" s="212"/>
      <c r="L31" s="1983"/>
      <c r="M31" s="1983"/>
    </row>
    <row r="32" spans="1:13" ht="24" customHeight="1" x14ac:dyDescent="0.2">
      <c r="A32" s="173" t="s">
        <v>2453</v>
      </c>
      <c r="B32" s="245" t="s">
        <v>2454</v>
      </c>
      <c r="C32" s="165" t="s">
        <v>2455</v>
      </c>
      <c r="D32" s="235" t="s">
        <v>682</v>
      </c>
      <c r="E32" s="168">
        <v>1</v>
      </c>
      <c r="F32" s="169">
        <v>1</v>
      </c>
      <c r="G32" s="170">
        <v>1</v>
      </c>
      <c r="H32" s="105"/>
      <c r="I32" s="105"/>
      <c r="J32" s="174"/>
      <c r="K32" s="212" t="s">
        <v>2405</v>
      </c>
      <c r="L32" s="165" t="s">
        <v>2456</v>
      </c>
      <c r="M32" s="165"/>
    </row>
    <row r="33" spans="1:46" ht="22.5" customHeight="1" x14ac:dyDescent="0.2">
      <c r="A33" s="166" t="s">
        <v>2457</v>
      </c>
      <c r="B33" s="171" t="s">
        <v>2458</v>
      </c>
      <c r="C33" s="214" t="s">
        <v>2459</v>
      </c>
      <c r="D33" s="235" t="s">
        <v>682</v>
      </c>
      <c r="E33" s="22">
        <v>1</v>
      </c>
      <c r="F33" s="163">
        <v>1</v>
      </c>
      <c r="G33" s="119">
        <v>1</v>
      </c>
      <c r="H33" s="27"/>
      <c r="I33" s="27"/>
      <c r="J33" s="27"/>
      <c r="K33" s="212" t="s">
        <v>2405</v>
      </c>
      <c r="L33" s="214" t="s">
        <v>2460</v>
      </c>
      <c r="M33" s="214"/>
    </row>
    <row r="34" spans="1:46" ht="19.5" customHeight="1" x14ac:dyDescent="0.2">
      <c r="A34" s="166" t="s">
        <v>2461</v>
      </c>
      <c r="B34" s="171" t="s">
        <v>2462</v>
      </c>
      <c r="C34" s="1996" t="s">
        <v>2463</v>
      </c>
      <c r="D34" s="235" t="s">
        <v>682</v>
      </c>
      <c r="E34" s="1998">
        <v>2</v>
      </c>
      <c r="F34" s="1631">
        <v>1</v>
      </c>
      <c r="G34" s="1625">
        <v>2</v>
      </c>
      <c r="H34" s="1622"/>
      <c r="I34" s="1622"/>
      <c r="J34" s="27"/>
      <c r="K34" s="212" t="s">
        <v>2405</v>
      </c>
      <c r="L34" s="214" t="s">
        <v>2464</v>
      </c>
      <c r="M34" s="1996"/>
    </row>
    <row r="35" spans="1:46" ht="20.25" customHeight="1" x14ac:dyDescent="0.2">
      <c r="A35" s="166" t="s">
        <v>2465</v>
      </c>
      <c r="B35" s="208"/>
      <c r="C35" s="1997"/>
      <c r="D35" s="235" t="s">
        <v>682</v>
      </c>
      <c r="E35" s="1999"/>
      <c r="F35" s="1633"/>
      <c r="G35" s="1627"/>
      <c r="H35" s="1624"/>
      <c r="I35" s="1624"/>
      <c r="J35" s="27"/>
      <c r="K35" s="193"/>
      <c r="L35" s="237" t="s">
        <v>2466</v>
      </c>
      <c r="M35" s="1997"/>
    </row>
    <row r="36" spans="1:46" ht="21" customHeight="1" x14ac:dyDescent="0.2">
      <c r="A36" s="166" t="s">
        <v>2467</v>
      </c>
      <c r="B36" s="171" t="s">
        <v>2468</v>
      </c>
      <c r="C36" s="1996" t="s">
        <v>2469</v>
      </c>
      <c r="D36" s="235" t="s">
        <v>682</v>
      </c>
      <c r="E36" s="1998">
        <v>2</v>
      </c>
      <c r="F36" s="1631">
        <v>1</v>
      </c>
      <c r="G36" s="1625">
        <v>2</v>
      </c>
      <c r="H36" s="1622"/>
      <c r="I36" s="1622"/>
      <c r="J36" s="27"/>
      <c r="K36" s="212" t="s">
        <v>2405</v>
      </c>
      <c r="L36" s="214" t="s">
        <v>2470</v>
      </c>
      <c r="M36" s="1996"/>
    </row>
    <row r="37" spans="1:46" ht="21.75" customHeight="1" x14ac:dyDescent="0.2">
      <c r="A37" s="166" t="s">
        <v>2471</v>
      </c>
      <c r="B37" s="208"/>
      <c r="C37" s="1997"/>
      <c r="D37" s="235" t="s">
        <v>682</v>
      </c>
      <c r="E37" s="1999"/>
      <c r="F37" s="1633"/>
      <c r="G37" s="1627"/>
      <c r="H37" s="1624"/>
      <c r="I37" s="1624"/>
      <c r="J37" s="27"/>
      <c r="K37" s="193"/>
      <c r="L37" s="237" t="s">
        <v>2472</v>
      </c>
      <c r="M37" s="1997"/>
    </row>
    <row r="38" spans="1:46" ht="22.5" customHeight="1" x14ac:dyDescent="0.2">
      <c r="A38" s="166" t="s">
        <v>390</v>
      </c>
      <c r="B38" s="166" t="s">
        <v>2473</v>
      </c>
      <c r="C38" s="205" t="s">
        <v>2474</v>
      </c>
      <c r="D38" s="235" t="s">
        <v>682</v>
      </c>
      <c r="E38" s="22">
        <v>1</v>
      </c>
      <c r="F38" s="163">
        <v>1</v>
      </c>
      <c r="G38" s="119">
        <v>1</v>
      </c>
      <c r="H38" s="27"/>
      <c r="I38" s="27"/>
      <c r="J38" s="27"/>
      <c r="K38" s="193" t="s">
        <v>2405</v>
      </c>
      <c r="L38" s="205" t="s">
        <v>2475</v>
      </c>
      <c r="M38" s="205" t="s">
        <v>2476</v>
      </c>
    </row>
    <row r="39" spans="1:46" ht="16.5" customHeight="1" x14ac:dyDescent="0.2">
      <c r="A39" s="166" t="s">
        <v>2477</v>
      </c>
      <c r="B39" s="209" t="s">
        <v>2478</v>
      </c>
      <c r="C39" s="2023" t="s">
        <v>2479</v>
      </c>
      <c r="D39" s="235" t="s">
        <v>682</v>
      </c>
      <c r="E39" s="1998">
        <v>2</v>
      </c>
      <c r="F39" s="1631">
        <v>1</v>
      </c>
      <c r="G39" s="1625">
        <v>2</v>
      </c>
      <c r="H39" s="1622"/>
      <c r="I39" s="1622"/>
      <c r="J39" s="27"/>
      <c r="K39" s="193" t="s">
        <v>2405</v>
      </c>
      <c r="L39" s="2023" t="s">
        <v>2480</v>
      </c>
      <c r="M39" s="2023"/>
    </row>
    <row r="40" spans="1:46" ht="18.75" customHeight="1" x14ac:dyDescent="0.2">
      <c r="A40" s="166" t="s">
        <v>2481</v>
      </c>
      <c r="B40" s="208"/>
      <c r="C40" s="1997"/>
      <c r="D40" s="235" t="s">
        <v>682</v>
      </c>
      <c r="E40" s="1999"/>
      <c r="F40" s="1633"/>
      <c r="G40" s="1627"/>
      <c r="H40" s="1624"/>
      <c r="I40" s="1624"/>
      <c r="J40" s="27"/>
      <c r="K40" s="193"/>
      <c r="L40" s="1997"/>
      <c r="M40" s="1997"/>
    </row>
    <row r="41" spans="1:46" ht="18.75" customHeight="1" x14ac:dyDescent="0.2">
      <c r="A41" s="166" t="s">
        <v>2482</v>
      </c>
      <c r="B41" s="171" t="s">
        <v>2483</v>
      </c>
      <c r="C41" s="1996" t="s">
        <v>2484</v>
      </c>
      <c r="D41" s="235" t="s">
        <v>682</v>
      </c>
      <c r="E41" s="1998">
        <v>2</v>
      </c>
      <c r="F41" s="1631">
        <v>1</v>
      </c>
      <c r="G41" s="1625">
        <v>2</v>
      </c>
      <c r="H41" s="1622"/>
      <c r="I41" s="1622"/>
      <c r="J41" s="27"/>
      <c r="K41" s="212" t="s">
        <v>2405</v>
      </c>
      <c r="L41" s="1996" t="s">
        <v>2485</v>
      </c>
      <c r="M41" s="1996"/>
    </row>
    <row r="42" spans="1:46" ht="17.25" customHeight="1" x14ac:dyDescent="0.2">
      <c r="A42" s="166" t="s">
        <v>2486</v>
      </c>
      <c r="B42" s="208"/>
      <c r="C42" s="1997"/>
      <c r="D42" s="235" t="s">
        <v>682</v>
      </c>
      <c r="E42" s="1999"/>
      <c r="F42" s="1633"/>
      <c r="G42" s="1627"/>
      <c r="H42" s="1624"/>
      <c r="I42" s="1624"/>
      <c r="J42" s="27"/>
      <c r="K42" s="193"/>
      <c r="L42" s="1997"/>
      <c r="M42" s="1997"/>
    </row>
    <row r="43" spans="1:46" ht="21" customHeight="1" x14ac:dyDescent="0.2">
      <c r="A43" s="166" t="s">
        <v>2487</v>
      </c>
      <c r="B43" s="209" t="s">
        <v>2488</v>
      </c>
      <c r="C43" s="2023" t="s">
        <v>2489</v>
      </c>
      <c r="D43" s="235" t="s">
        <v>682</v>
      </c>
      <c r="E43" s="1998">
        <v>2</v>
      </c>
      <c r="F43" s="1631">
        <v>1</v>
      </c>
      <c r="G43" s="1625">
        <v>2</v>
      </c>
      <c r="H43" s="1622"/>
      <c r="I43" s="1622"/>
      <c r="J43" s="27"/>
      <c r="K43" s="212" t="s">
        <v>2405</v>
      </c>
      <c r="L43" s="215" t="s">
        <v>2490</v>
      </c>
      <c r="M43" s="2023"/>
    </row>
    <row r="44" spans="1:46" ht="18.75" customHeight="1" x14ac:dyDescent="0.2">
      <c r="A44" s="166" t="s">
        <v>2491</v>
      </c>
      <c r="B44" s="208"/>
      <c r="C44" s="1997"/>
      <c r="D44" s="235" t="s">
        <v>682</v>
      </c>
      <c r="E44" s="1999"/>
      <c r="F44" s="1633"/>
      <c r="G44" s="1627"/>
      <c r="H44" s="1624"/>
      <c r="I44" s="1624"/>
      <c r="J44" s="27"/>
      <c r="K44" s="193"/>
      <c r="L44" s="237" t="s">
        <v>2492</v>
      </c>
      <c r="M44" s="1997"/>
    </row>
    <row r="45" spans="1:46" ht="21.75" customHeight="1" x14ac:dyDescent="0.2">
      <c r="A45" s="166" t="s">
        <v>2493</v>
      </c>
      <c r="B45" s="209" t="s">
        <v>2494</v>
      </c>
      <c r="C45" s="215" t="s">
        <v>2495</v>
      </c>
      <c r="D45" s="235" t="s">
        <v>682</v>
      </c>
      <c r="E45" s="22">
        <v>1</v>
      </c>
      <c r="F45" s="163">
        <v>1</v>
      </c>
      <c r="G45" s="119">
        <v>1</v>
      </c>
      <c r="H45" s="27"/>
      <c r="I45" s="27"/>
      <c r="J45" s="27"/>
      <c r="K45" s="212" t="s">
        <v>2405</v>
      </c>
      <c r="L45" s="215" t="s">
        <v>2496</v>
      </c>
      <c r="M45" s="215"/>
    </row>
    <row r="46" spans="1:46" s="30" customFormat="1" ht="24.75" customHeight="1" x14ac:dyDescent="0.2">
      <c r="A46" s="172" t="s">
        <v>2497</v>
      </c>
      <c r="B46" s="172" t="s">
        <v>2498</v>
      </c>
      <c r="C46" s="218" t="s">
        <v>2499</v>
      </c>
      <c r="D46" s="235" t="s">
        <v>682</v>
      </c>
      <c r="E46" s="29">
        <v>1</v>
      </c>
      <c r="F46" s="23">
        <v>1</v>
      </c>
      <c r="G46" s="222">
        <v>1</v>
      </c>
      <c r="H46" s="29"/>
      <c r="I46" s="29"/>
      <c r="J46" s="29"/>
      <c r="K46" s="212" t="s">
        <v>2405</v>
      </c>
      <c r="L46" s="218" t="s">
        <v>2500</v>
      </c>
      <c r="M46" s="218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1:46" ht="24" customHeight="1" x14ac:dyDescent="0.2">
      <c r="A47" s="172" t="s">
        <v>2501</v>
      </c>
      <c r="B47" s="210" t="s">
        <v>2502</v>
      </c>
      <c r="C47" s="219" t="s">
        <v>2503</v>
      </c>
      <c r="D47" s="235" t="s">
        <v>682</v>
      </c>
      <c r="E47" s="29">
        <v>1</v>
      </c>
      <c r="F47" s="23">
        <v>1</v>
      </c>
      <c r="G47" s="222">
        <v>1</v>
      </c>
      <c r="H47" s="29"/>
      <c r="I47" s="29"/>
      <c r="J47" s="29"/>
      <c r="K47" s="212" t="s">
        <v>2405</v>
      </c>
      <c r="L47" s="219" t="s">
        <v>2430</v>
      </c>
      <c r="M47" s="219"/>
    </row>
    <row r="48" spans="1:46" ht="19.5" customHeight="1" x14ac:dyDescent="0.2">
      <c r="A48" s="172" t="s">
        <v>2504</v>
      </c>
      <c r="B48" s="210" t="s">
        <v>2505</v>
      </c>
      <c r="C48" s="1556" t="s">
        <v>2506</v>
      </c>
      <c r="D48" s="235" t="s">
        <v>682</v>
      </c>
      <c r="E48" s="1628">
        <v>2</v>
      </c>
      <c r="F48" s="1631">
        <v>1</v>
      </c>
      <c r="G48" s="2025">
        <v>2</v>
      </c>
      <c r="H48" s="1628"/>
      <c r="I48" s="1628"/>
      <c r="J48" s="29"/>
      <c r="K48" s="212" t="s">
        <v>2405</v>
      </c>
      <c r="L48" s="219" t="s">
        <v>2507</v>
      </c>
      <c r="M48" s="1556"/>
    </row>
    <row r="49" spans="1:13" ht="21" customHeight="1" x14ac:dyDescent="0.2">
      <c r="A49" s="172" t="s">
        <v>2508</v>
      </c>
      <c r="B49" s="211"/>
      <c r="C49" s="1557"/>
      <c r="D49" s="235" t="s">
        <v>682</v>
      </c>
      <c r="E49" s="1630"/>
      <c r="F49" s="1633"/>
      <c r="G49" s="2026"/>
      <c r="H49" s="1630"/>
      <c r="I49" s="1630"/>
      <c r="J49" s="29"/>
      <c r="K49" s="213"/>
      <c r="L49" s="238" t="s">
        <v>2509</v>
      </c>
      <c r="M49" s="1557"/>
    </row>
    <row r="50" spans="1:13" ht="22.5" customHeight="1" x14ac:dyDescent="0.2">
      <c r="A50" s="172" t="s">
        <v>2510</v>
      </c>
      <c r="B50" s="210"/>
      <c r="C50" s="219" t="s">
        <v>2511</v>
      </c>
      <c r="D50" s="235" t="s">
        <v>682</v>
      </c>
      <c r="E50" s="29">
        <v>1</v>
      </c>
      <c r="F50" s="23">
        <v>1</v>
      </c>
      <c r="G50" s="222">
        <v>1</v>
      </c>
      <c r="H50" s="29"/>
      <c r="I50" s="29"/>
      <c r="J50" s="29"/>
      <c r="K50" s="212" t="s">
        <v>2405</v>
      </c>
      <c r="L50" s="219" t="s">
        <v>2410</v>
      </c>
      <c r="M50" s="219"/>
    </row>
    <row r="51" spans="1:13" ht="18.75" customHeight="1" x14ac:dyDescent="0.2">
      <c r="A51" s="172" t="s">
        <v>2512</v>
      </c>
      <c r="B51" s="210" t="s">
        <v>2513</v>
      </c>
      <c r="C51" s="1556" t="s">
        <v>2514</v>
      </c>
      <c r="D51" s="235" t="s">
        <v>682</v>
      </c>
      <c r="E51" s="1628">
        <v>2</v>
      </c>
      <c r="F51" s="1631">
        <v>1</v>
      </c>
      <c r="G51" s="2025">
        <v>2</v>
      </c>
      <c r="H51" s="1628"/>
      <c r="I51" s="1628"/>
      <c r="J51" s="29"/>
      <c r="K51" s="212" t="s">
        <v>2405</v>
      </c>
      <c r="L51" s="219" t="s">
        <v>2515</v>
      </c>
      <c r="M51" s="1556"/>
    </row>
    <row r="52" spans="1:13" ht="22.5" customHeight="1" x14ac:dyDescent="0.2">
      <c r="A52" s="172" t="s">
        <v>2516</v>
      </c>
      <c r="B52" s="211"/>
      <c r="C52" s="1557"/>
      <c r="D52" s="235" t="s">
        <v>682</v>
      </c>
      <c r="E52" s="1630"/>
      <c r="F52" s="1633"/>
      <c r="G52" s="2026"/>
      <c r="H52" s="1630"/>
      <c r="I52" s="1630"/>
      <c r="J52" s="29"/>
      <c r="K52" s="213"/>
      <c r="L52" s="238" t="s">
        <v>2517</v>
      </c>
      <c r="M52" s="1557"/>
    </row>
    <row r="53" spans="1:13" ht="26.25" customHeight="1" x14ac:dyDescent="0.2">
      <c r="A53" s="172" t="s">
        <v>2518</v>
      </c>
      <c r="B53" s="210" t="s">
        <v>2519</v>
      </c>
      <c r="C53" s="219" t="s">
        <v>2520</v>
      </c>
      <c r="D53" s="235" t="s">
        <v>682</v>
      </c>
      <c r="E53" s="29">
        <v>1</v>
      </c>
      <c r="F53" s="23">
        <v>1</v>
      </c>
      <c r="G53" s="221">
        <v>1</v>
      </c>
      <c r="H53" s="29"/>
      <c r="I53" s="29"/>
      <c r="J53" s="29"/>
      <c r="K53" s="212" t="s">
        <v>2405</v>
      </c>
      <c r="L53" s="219" t="s">
        <v>2521</v>
      </c>
      <c r="M53" s="219"/>
    </row>
    <row r="54" spans="1:13" ht="24" customHeight="1" x14ac:dyDescent="0.2">
      <c r="A54" s="172" t="s">
        <v>2522</v>
      </c>
      <c r="B54" s="210" t="s">
        <v>2523</v>
      </c>
      <c r="C54" s="1556" t="s">
        <v>2524</v>
      </c>
      <c r="D54" s="235" t="s">
        <v>682</v>
      </c>
      <c r="E54" s="1628">
        <v>2</v>
      </c>
      <c r="F54" s="1631">
        <v>1</v>
      </c>
      <c r="G54" s="2025">
        <v>2</v>
      </c>
      <c r="H54" s="1628"/>
      <c r="I54" s="1628"/>
      <c r="J54" s="1628"/>
      <c r="K54" s="212" t="s">
        <v>2405</v>
      </c>
      <c r="L54" s="219" t="s">
        <v>2525</v>
      </c>
      <c r="M54" s="1556"/>
    </row>
    <row r="55" spans="1:13" ht="20.25" customHeight="1" x14ac:dyDescent="0.2">
      <c r="A55" s="172" t="s">
        <v>2526</v>
      </c>
      <c r="B55" s="211"/>
      <c r="C55" s="2024"/>
      <c r="D55" s="235" t="s">
        <v>682</v>
      </c>
      <c r="E55" s="1630"/>
      <c r="F55" s="1633"/>
      <c r="G55" s="2026"/>
      <c r="H55" s="1630"/>
      <c r="I55" s="1630"/>
      <c r="J55" s="1630"/>
      <c r="K55" s="213"/>
      <c r="L55" s="239" t="s">
        <v>2527</v>
      </c>
      <c r="M55" s="2024"/>
    </row>
  </sheetData>
  <mergeCells count="122">
    <mergeCell ref="I54:I55"/>
    <mergeCell ref="J54:J55"/>
    <mergeCell ref="M54:M55"/>
    <mergeCell ref="M43:M44"/>
    <mergeCell ref="M48:M49"/>
    <mergeCell ref="C51:C52"/>
    <mergeCell ref="E51:E52"/>
    <mergeCell ref="F51:F52"/>
    <mergeCell ref="G51:G52"/>
    <mergeCell ref="H51:H52"/>
    <mergeCell ref="I51:I52"/>
    <mergeCell ref="M51:M52"/>
    <mergeCell ref="C43:C44"/>
    <mergeCell ref="C54:C55"/>
    <mergeCell ref="E54:E55"/>
    <mergeCell ref="G48:G49"/>
    <mergeCell ref="F48:F49"/>
    <mergeCell ref="E43:E44"/>
    <mergeCell ref="F43:F44"/>
    <mergeCell ref="G43:G44"/>
    <mergeCell ref="H43:H44"/>
    <mergeCell ref="F54:F55"/>
    <mergeCell ref="G54:G55"/>
    <mergeCell ref="H54:H55"/>
    <mergeCell ref="M36:M37"/>
    <mergeCell ref="H28:H31"/>
    <mergeCell ref="C28:C31"/>
    <mergeCell ref="F28:F31"/>
    <mergeCell ref="I28:I31"/>
    <mergeCell ref="M39:M40"/>
    <mergeCell ref="C41:C42"/>
    <mergeCell ref="E41:E42"/>
    <mergeCell ref="F41:F42"/>
    <mergeCell ref="G41:G42"/>
    <mergeCell ref="H41:H42"/>
    <mergeCell ref="I41:I42"/>
    <mergeCell ref="L41:L42"/>
    <mergeCell ref="M41:M42"/>
    <mergeCell ref="C39:C40"/>
    <mergeCell ref="L39:L40"/>
    <mergeCell ref="E39:E40"/>
    <mergeCell ref="F39:F40"/>
    <mergeCell ref="G39:G40"/>
    <mergeCell ref="H39:H40"/>
    <mergeCell ref="L28:L31"/>
    <mergeCell ref="M28:M31"/>
    <mergeCell ref="C34:C35"/>
    <mergeCell ref="E34:E35"/>
    <mergeCell ref="F34:F35"/>
    <mergeCell ref="G34:G35"/>
    <mergeCell ref="H34:H35"/>
    <mergeCell ref="M34:M35"/>
    <mergeCell ref="H15:H17"/>
    <mergeCell ref="I15:I17"/>
    <mergeCell ref="G15:G17"/>
    <mergeCell ref="I18:I19"/>
    <mergeCell ref="G18:G19"/>
    <mergeCell ref="M23:M25"/>
    <mergeCell ref="L26:L27"/>
    <mergeCell ref="M26:M27"/>
    <mergeCell ref="E18:E19"/>
    <mergeCell ref="H18:H19"/>
    <mergeCell ref="C18:C19"/>
    <mergeCell ref="C15:C17"/>
    <mergeCell ref="G20:G22"/>
    <mergeCell ref="E20:E22"/>
    <mergeCell ref="F20:F22"/>
    <mergeCell ref="N3:O3"/>
    <mergeCell ref="L15:L17"/>
    <mergeCell ref="M15:M17"/>
    <mergeCell ref="M18:M19"/>
    <mergeCell ref="L20:L22"/>
    <mergeCell ref="M20:M22"/>
    <mergeCell ref="C20:C22"/>
    <mergeCell ref="H36:H37"/>
    <mergeCell ref="I36:I37"/>
    <mergeCell ref="F26:F27"/>
    <mergeCell ref="E26:E27"/>
    <mergeCell ref="A1:K1"/>
    <mergeCell ref="A2:K2"/>
    <mergeCell ref="A3:K3"/>
    <mergeCell ref="A7:C7"/>
    <mergeCell ref="D7:K7"/>
    <mergeCell ref="A10:C10"/>
    <mergeCell ref="D10:K10"/>
    <mergeCell ref="A6:C6"/>
    <mergeCell ref="D6:K6"/>
    <mergeCell ref="A9:C9"/>
    <mergeCell ref="A4:K4"/>
    <mergeCell ref="A5:C5"/>
    <mergeCell ref="D5:K5"/>
    <mergeCell ref="D8:K8"/>
    <mergeCell ref="D9:K9"/>
    <mergeCell ref="A8:C8"/>
    <mergeCell ref="F15:F17"/>
    <mergeCell ref="I20:I22"/>
    <mergeCell ref="F18:F19"/>
    <mergeCell ref="E15:E17"/>
    <mergeCell ref="C23:C25"/>
    <mergeCell ref="H26:H27"/>
    <mergeCell ref="G26:G27"/>
    <mergeCell ref="H20:H22"/>
    <mergeCell ref="I48:I49"/>
    <mergeCell ref="H23:H25"/>
    <mergeCell ref="E48:E49"/>
    <mergeCell ref="C48:C49"/>
    <mergeCell ref="H48:H49"/>
    <mergeCell ref="C26:C27"/>
    <mergeCell ref="G28:G31"/>
    <mergeCell ref="I39:I40"/>
    <mergeCell ref="I34:I35"/>
    <mergeCell ref="E28:E31"/>
    <mergeCell ref="E23:E25"/>
    <mergeCell ref="I26:I27"/>
    <mergeCell ref="I23:I25"/>
    <mergeCell ref="I43:I44"/>
    <mergeCell ref="F23:F25"/>
    <mergeCell ref="G23:G25"/>
    <mergeCell ref="C36:C37"/>
    <mergeCell ref="E36:E37"/>
    <mergeCell ref="F36:F37"/>
    <mergeCell ref="G36:G37"/>
  </mergeCells>
  <phoneticPr fontId="5" type="noConversion"/>
  <conditionalFormatting sqref="G12:G32">
    <cfRule type="cellIs" dxfId="35" priority="4" stopIfTrue="1" operator="lessThan">
      <formula>$F$12</formula>
    </cfRule>
  </conditionalFormatting>
  <conditionalFormatting sqref="D12:D55">
    <cfRule type="cellIs" dxfId="34" priority="1" stopIfTrue="1" operator="equal">
      <formula>$N$5</formula>
    </cfRule>
    <cfRule type="cellIs" dxfId="33" priority="2" stopIfTrue="1" operator="equal">
      <formula>$N$4</formula>
    </cfRule>
    <cfRule type="cellIs" dxfId="32" priority="3" stopIfTrue="1" operator="equal">
      <formula>$N$6</formula>
    </cfRule>
  </conditionalFormatting>
  <conditionalFormatting sqref="G33:G45">
    <cfRule type="cellIs" dxfId="31" priority="8" stopIfTrue="1" operator="lessThan">
      <formula>#REF!</formula>
    </cfRule>
  </conditionalFormatting>
  <dataValidations disablePrompts="1" count="1">
    <dataValidation type="list" showErrorMessage="1" errorTitle="Invalid Entry" error="Please only choose _x000a_S, U/S, DEPLOYED, and PAST INSP DUE" promptTitle="Current Item Condition " prompt="Please, Indicates current item's condition._x000a__x000a_S = Serviceable_x000a__x000a_U/S = UnServiceable/Damaged/under repair/replacement required_x000a__x000a_Deployed = RIP/HLTA/Temp Loan to remote locations_x000a__x000a_Past Insp Due = item pass the it's inspection date due  " sqref="D12:D55" xr:uid="{CFCB2E3F-A3D7-4E74-B261-9088F39B75D2}">
      <formula1>$N$4:$N$9</formula1>
    </dataValidation>
  </dataValidations>
  <pageMargins left="0.75" right="0.75" top="1" bottom="1" header="0.5" footer="0.5"/>
  <pageSetup scale="50" fitToHeight="0" orientation="landscape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415C-68A6-4E02-9167-B25ABBD8EAD3}">
  <sheetPr codeName="Sheet4">
    <tabColor indexed="15"/>
    <pageSetUpPr autoPageBreaks="0" fitToPage="1"/>
  </sheetPr>
  <dimension ref="A1:P50"/>
  <sheetViews>
    <sheetView showGridLines="0" zoomScale="115" zoomScaleNormal="115" zoomScaleSheetLayoutView="100" workbookViewId="0">
      <pane ySplit="11" topLeftCell="A12" activePane="bottomLeft" state="frozen"/>
      <selection activeCell="L5" sqref="L5"/>
      <selection pane="bottomLeft" activeCell="B32" sqref="B32"/>
    </sheetView>
  </sheetViews>
  <sheetFormatPr defaultRowHeight="12.75" x14ac:dyDescent="0.2"/>
  <cols>
    <col min="1" max="1" width="8.42578125" style="1" customWidth="1"/>
    <col min="2" max="3" width="12.42578125" style="1" customWidth="1"/>
    <col min="4" max="4" width="38.42578125" style="3" bestFit="1" customWidth="1"/>
    <col min="5" max="5" width="14.42578125" bestFit="1" customWidth="1"/>
    <col min="6" max="6" width="6.28515625" style="2" customWidth="1"/>
    <col min="7" max="7" width="5.5703125" style="2" customWidth="1"/>
    <col min="8" max="8" width="5.28515625" style="2" customWidth="1"/>
    <col min="9" max="9" width="9.28515625" style="2" hidden="1" customWidth="1"/>
    <col min="10" max="10" width="9.7109375" style="2" hidden="1" customWidth="1"/>
    <col min="11" max="11" width="51.28515625" customWidth="1"/>
    <col min="12" max="12" width="32.28515625" style="2" customWidth="1"/>
    <col min="13" max="14" width="12.42578125" hidden="1" customWidth="1"/>
    <col min="15" max="15" width="32.28515625" style="2" customWidth="1"/>
    <col min="16" max="17" width="9.140625" customWidth="1"/>
  </cols>
  <sheetData>
    <row r="1" spans="1:15" ht="20.25" x14ac:dyDescent="0.3">
      <c r="A1" s="2000" t="s">
        <v>2528</v>
      </c>
      <c r="B1" s="2000"/>
      <c r="C1" s="2000"/>
      <c r="D1" s="2000"/>
      <c r="E1" s="2000"/>
      <c r="F1" s="2000"/>
      <c r="G1" s="2000"/>
      <c r="H1" s="2000"/>
      <c r="I1" s="2000"/>
      <c r="J1" s="2000"/>
      <c r="K1" s="2000"/>
      <c r="M1" s="127">
        <f ca="1">TODAY()</f>
        <v>46183</v>
      </c>
      <c r="N1" s="127">
        <f ca="1">TODAY()+61</f>
        <v>46244</v>
      </c>
    </row>
    <row r="2" spans="1:15" x14ac:dyDescent="0.2">
      <c r="A2" s="1663" t="s">
        <v>2393</v>
      </c>
      <c r="B2" s="1663"/>
      <c r="C2" s="1663"/>
      <c r="D2" s="2001"/>
      <c r="E2" s="2001"/>
      <c r="F2" s="2001"/>
      <c r="G2" s="2001"/>
      <c r="H2" s="2001"/>
      <c r="I2" s="2001"/>
      <c r="J2" s="2001"/>
      <c r="K2" s="2001"/>
      <c r="M2" s="15"/>
      <c r="N2" s="15"/>
    </row>
    <row r="3" spans="1:15" x14ac:dyDescent="0.2">
      <c r="A3" s="1663" t="s">
        <v>2394</v>
      </c>
      <c r="B3" s="1663"/>
      <c r="C3" s="1663"/>
      <c r="D3" s="2001"/>
      <c r="E3" s="2001"/>
      <c r="F3" s="2001"/>
      <c r="G3" s="2001"/>
      <c r="H3" s="2001"/>
      <c r="I3" s="2001"/>
      <c r="J3" s="2001"/>
      <c r="K3" s="2001"/>
      <c r="M3" s="2021" t="s">
        <v>2395</v>
      </c>
      <c r="N3" s="2022"/>
    </row>
    <row r="4" spans="1:15" x14ac:dyDescent="0.2">
      <c r="A4" s="1663"/>
      <c r="B4" s="1663"/>
      <c r="C4" s="1663"/>
      <c r="D4" s="2001"/>
      <c r="E4" s="2001"/>
      <c r="F4" s="2001"/>
      <c r="G4" s="2001"/>
      <c r="H4" s="2001"/>
      <c r="I4" s="2001"/>
      <c r="J4" s="2001"/>
      <c r="K4" s="2001"/>
      <c r="M4" s="229" t="s">
        <v>682</v>
      </c>
      <c r="N4" s="137"/>
    </row>
    <row r="5" spans="1:15" x14ac:dyDescent="0.2">
      <c r="A5" s="2029" t="s">
        <v>2397</v>
      </c>
      <c r="B5" s="2030"/>
      <c r="C5" s="2030"/>
      <c r="D5" s="2004"/>
      <c r="E5" s="2005"/>
      <c r="F5" s="2005"/>
      <c r="G5" s="2005"/>
      <c r="H5" s="2005"/>
      <c r="I5" s="2005"/>
      <c r="J5" s="2005"/>
      <c r="K5" s="2006"/>
      <c r="M5" s="229" t="s">
        <v>688</v>
      </c>
      <c r="N5" s="138"/>
    </row>
    <row r="6" spans="1:15" x14ac:dyDescent="0.2">
      <c r="A6" s="2009" t="s">
        <v>2397</v>
      </c>
      <c r="B6" s="2010"/>
      <c r="C6" s="2010"/>
      <c r="D6" s="2011"/>
      <c r="E6" s="2012"/>
      <c r="F6" s="2012"/>
      <c r="G6" s="2012"/>
      <c r="H6" s="2012"/>
      <c r="I6" s="2012"/>
      <c r="J6" s="2012"/>
      <c r="K6" s="2013"/>
      <c r="M6" s="229"/>
      <c r="N6" s="138"/>
    </row>
    <row r="7" spans="1:15" x14ac:dyDescent="0.2">
      <c r="A7" s="2002" t="s">
        <v>2397</v>
      </c>
      <c r="B7" s="2003"/>
      <c r="C7" s="2003"/>
      <c r="D7" s="2004"/>
      <c r="E7" s="2005"/>
      <c r="F7" s="2005"/>
      <c r="G7" s="2005"/>
      <c r="H7" s="2005"/>
      <c r="I7" s="2005"/>
      <c r="J7" s="2005"/>
      <c r="K7" s="2006"/>
      <c r="M7" s="229" t="s">
        <v>690</v>
      </c>
      <c r="N7" s="138"/>
    </row>
    <row r="8" spans="1:15" x14ac:dyDescent="0.2">
      <c r="A8" s="2019" t="s">
        <v>2397</v>
      </c>
      <c r="B8" s="2020"/>
      <c r="C8" s="2020"/>
      <c r="D8" s="2004"/>
      <c r="E8" s="2005"/>
      <c r="F8" s="2005"/>
      <c r="G8" s="2005"/>
      <c r="H8" s="2005"/>
      <c r="I8" s="2005"/>
      <c r="J8" s="2005"/>
      <c r="K8" s="2006"/>
      <c r="M8" s="229" t="s">
        <v>692</v>
      </c>
      <c r="N8" s="138"/>
    </row>
    <row r="9" spans="1:15" x14ac:dyDescent="0.2">
      <c r="A9" s="2014" t="s">
        <v>2397</v>
      </c>
      <c r="B9" s="2015"/>
      <c r="C9" s="2015"/>
      <c r="D9" s="2004"/>
      <c r="E9" s="2005"/>
      <c r="F9" s="2005"/>
      <c r="G9" s="2005"/>
      <c r="H9" s="2005"/>
      <c r="I9" s="2005"/>
      <c r="J9" s="2005"/>
      <c r="K9" s="2006"/>
      <c r="M9" s="127"/>
      <c r="N9" s="15"/>
    </row>
    <row r="10" spans="1:15" x14ac:dyDescent="0.2">
      <c r="A10" s="2007" t="s">
        <v>2397</v>
      </c>
      <c r="B10" s="2008"/>
      <c r="C10" s="2008"/>
      <c r="D10" s="2004"/>
      <c r="E10" s="2005"/>
      <c r="F10" s="2005"/>
      <c r="G10" s="2005"/>
      <c r="H10" s="2005"/>
      <c r="I10" s="2005"/>
      <c r="J10" s="2005"/>
      <c r="K10" s="2006"/>
      <c r="M10" s="15"/>
      <c r="N10" s="15"/>
    </row>
    <row r="11" spans="1:15" x14ac:dyDescent="0.2">
      <c r="A11" s="132" t="s">
        <v>2326</v>
      </c>
      <c r="B11" s="132" t="s">
        <v>2529</v>
      </c>
      <c r="C11" s="132" t="s">
        <v>2530</v>
      </c>
      <c r="D11" s="131" t="s">
        <v>7</v>
      </c>
      <c r="E11" s="21" t="s">
        <v>8</v>
      </c>
      <c r="F11" s="5" t="s">
        <v>9</v>
      </c>
      <c r="G11" s="5" t="s">
        <v>10</v>
      </c>
      <c r="H11" s="5" t="s">
        <v>11</v>
      </c>
      <c r="I11" s="5" t="s">
        <v>12</v>
      </c>
      <c r="J11" s="5" t="s">
        <v>13</v>
      </c>
      <c r="K11" s="133" t="s">
        <v>2531</v>
      </c>
      <c r="L11" s="223" t="s">
        <v>2401</v>
      </c>
      <c r="O11" s="223" t="s">
        <v>2532</v>
      </c>
    </row>
    <row r="12" spans="1:15" ht="19.5" customHeight="1" x14ac:dyDescent="0.2">
      <c r="A12" s="192" t="s">
        <v>2533</v>
      </c>
      <c r="B12" s="216" t="s">
        <v>2534</v>
      </c>
      <c r="C12" s="216"/>
      <c r="D12" s="2031" t="s">
        <v>2535</v>
      </c>
      <c r="E12" s="235" t="s">
        <v>682</v>
      </c>
      <c r="F12" s="1998">
        <v>2</v>
      </c>
      <c r="G12" s="1631">
        <v>1</v>
      </c>
      <c r="H12" s="1625">
        <f>COUNTIF(E12:E13,"S")</f>
        <v>2</v>
      </c>
      <c r="I12" s="27">
        <f>H12/F12</f>
        <v>1</v>
      </c>
      <c r="J12" s="27">
        <f>IF(H12/G12&gt;1,1,H12/G12)</f>
        <v>1</v>
      </c>
      <c r="K12" s="212" t="s">
        <v>2536</v>
      </c>
      <c r="L12" s="29" t="s">
        <v>2410</v>
      </c>
      <c r="O12" s="29"/>
    </row>
    <row r="13" spans="1:15" ht="18" customHeight="1" x14ac:dyDescent="0.2">
      <c r="A13" s="192" t="s">
        <v>2537</v>
      </c>
      <c r="B13" s="207"/>
      <c r="C13" s="207"/>
      <c r="D13" s="2032"/>
      <c r="E13" s="235" t="s">
        <v>682</v>
      </c>
      <c r="F13" s="1999"/>
      <c r="G13" s="1633"/>
      <c r="H13" s="1627"/>
      <c r="I13" s="27"/>
      <c r="J13" s="27"/>
      <c r="K13" s="24" t="s">
        <v>2538</v>
      </c>
      <c r="L13" s="29" t="s">
        <v>2410</v>
      </c>
      <c r="O13" s="29" t="s">
        <v>2539</v>
      </c>
    </row>
    <row r="14" spans="1:15" ht="21" customHeight="1" x14ac:dyDescent="0.2">
      <c r="A14" s="192" t="s">
        <v>2540</v>
      </c>
      <c r="B14" s="216" t="s">
        <v>2541</v>
      </c>
      <c r="C14" s="216" t="s">
        <v>2542</v>
      </c>
      <c r="D14" s="2031" t="s">
        <v>2543</v>
      </c>
      <c r="E14" s="235" t="s">
        <v>682</v>
      </c>
      <c r="F14" s="1998">
        <v>2</v>
      </c>
      <c r="G14" s="1631">
        <v>1</v>
      </c>
      <c r="H14" s="1625">
        <f>COUNTIF(E14:E15,"S")</f>
        <v>2</v>
      </c>
      <c r="I14" s="27"/>
      <c r="J14" s="27"/>
      <c r="K14" s="212" t="s">
        <v>2405</v>
      </c>
      <c r="L14" s="29" t="s">
        <v>2544</v>
      </c>
      <c r="O14" s="314">
        <v>44320</v>
      </c>
    </row>
    <row r="15" spans="1:15" ht="18.75" customHeight="1" x14ac:dyDescent="0.2">
      <c r="A15" s="192" t="s">
        <v>2545</v>
      </c>
      <c r="B15" s="207"/>
      <c r="C15" s="207" t="s">
        <v>2546</v>
      </c>
      <c r="D15" s="2032"/>
      <c r="E15" s="235" t="s">
        <v>682</v>
      </c>
      <c r="F15" s="1630"/>
      <c r="G15" s="1630"/>
      <c r="H15" s="1630"/>
      <c r="I15" s="27">
        <f>H14/F14</f>
        <v>1</v>
      </c>
      <c r="J15" s="27">
        <f>IF(H14/G14&gt;1,1,H14/G14)</f>
        <v>1</v>
      </c>
      <c r="K15" s="24"/>
      <c r="L15" s="29" t="s">
        <v>2410</v>
      </c>
      <c r="O15" s="29"/>
    </row>
    <row r="16" spans="1:15" ht="19.5" customHeight="1" x14ac:dyDescent="0.2">
      <c r="A16" s="192" t="s">
        <v>2547</v>
      </c>
      <c r="B16" s="216" t="s">
        <v>2548</v>
      </c>
      <c r="C16" s="216" t="s">
        <v>2549</v>
      </c>
      <c r="D16" s="2031" t="s">
        <v>2550</v>
      </c>
      <c r="E16" s="235" t="s">
        <v>682</v>
      </c>
      <c r="F16" s="1998">
        <v>2</v>
      </c>
      <c r="G16" s="1631">
        <v>1</v>
      </c>
      <c r="H16" s="1625">
        <v>2</v>
      </c>
      <c r="I16" s="27">
        <f>H16/F16</f>
        <v>1</v>
      </c>
      <c r="J16" s="27">
        <f>IF(H16/G16&gt;1,1,H16/G16)</f>
        <v>1</v>
      </c>
      <c r="K16" s="212" t="s">
        <v>2405</v>
      </c>
      <c r="L16" s="29" t="s">
        <v>2544</v>
      </c>
      <c r="O16" s="315"/>
    </row>
    <row r="17" spans="1:16" ht="18" customHeight="1" x14ac:dyDescent="0.2">
      <c r="A17" s="192" t="s">
        <v>2551</v>
      </c>
      <c r="B17" s="207"/>
      <c r="C17" s="207"/>
      <c r="D17" s="2032"/>
      <c r="E17" s="235" t="s">
        <v>682</v>
      </c>
      <c r="F17" s="1999"/>
      <c r="G17" s="1633"/>
      <c r="H17" s="1627"/>
      <c r="I17" s="27"/>
      <c r="J17" s="27"/>
      <c r="K17" s="152"/>
      <c r="L17" s="29" t="s">
        <v>2417</v>
      </c>
      <c r="O17" s="29"/>
      <c r="P17" s="185"/>
    </row>
    <row r="18" spans="1:16" ht="24" customHeight="1" x14ac:dyDescent="0.2">
      <c r="A18" s="192" t="s">
        <v>2552</v>
      </c>
      <c r="B18" s="192" t="s">
        <v>2553</v>
      </c>
      <c r="C18" s="192"/>
      <c r="D18" s="217" t="s">
        <v>2554</v>
      </c>
      <c r="E18" s="235" t="s">
        <v>682</v>
      </c>
      <c r="F18" s="22">
        <v>1</v>
      </c>
      <c r="G18" s="23">
        <v>1</v>
      </c>
      <c r="H18" s="17">
        <f>COUNTIF(E18,"S")</f>
        <v>1</v>
      </c>
      <c r="I18" s="27">
        <f>H18/F18</f>
        <v>1</v>
      </c>
      <c r="J18" s="27">
        <f>IF(H18/G18&gt;1,1,H18/G18)</f>
        <v>1</v>
      </c>
      <c r="K18" s="212" t="s">
        <v>2405</v>
      </c>
      <c r="L18" s="29" t="s">
        <v>2555</v>
      </c>
      <c r="O18" s="315"/>
    </row>
    <row r="19" spans="1:16" ht="22.5" customHeight="1" x14ac:dyDescent="0.2">
      <c r="A19" s="192" t="s">
        <v>2556</v>
      </c>
      <c r="B19" s="192" t="s">
        <v>2557</v>
      </c>
      <c r="C19" s="192" t="s">
        <v>873</v>
      </c>
      <c r="D19" s="217" t="s">
        <v>2558</v>
      </c>
      <c r="E19" s="235" t="s">
        <v>682</v>
      </c>
      <c r="F19" s="22">
        <v>1</v>
      </c>
      <c r="G19" s="23">
        <v>1</v>
      </c>
      <c r="H19" s="17">
        <f>COUNTIF(E19,"S")</f>
        <v>1</v>
      </c>
      <c r="I19" s="27">
        <f>H19/F19</f>
        <v>1</v>
      </c>
      <c r="J19" s="27">
        <f>IF(H19/G19&gt;1,1,H19/G19)</f>
        <v>1</v>
      </c>
      <c r="K19" s="212" t="s">
        <v>2405</v>
      </c>
      <c r="L19" s="29" t="s">
        <v>2559</v>
      </c>
      <c r="O19" s="29"/>
    </row>
    <row r="20" spans="1:16" ht="22.5" customHeight="1" x14ac:dyDescent="0.2">
      <c r="A20" s="192" t="s">
        <v>2560</v>
      </c>
      <c r="B20" s="216" t="s">
        <v>2561</v>
      </c>
      <c r="C20" s="216" t="s">
        <v>2562</v>
      </c>
      <c r="D20" s="2031" t="s">
        <v>2563</v>
      </c>
      <c r="E20" s="235" t="s">
        <v>682</v>
      </c>
      <c r="F20" s="1998">
        <v>2</v>
      </c>
      <c r="G20" s="1631">
        <v>1</v>
      </c>
      <c r="H20" s="1625">
        <f>COUNTIF(E20:E21,"S")</f>
        <v>2</v>
      </c>
      <c r="I20" s="1622">
        <f>H20/F20</f>
        <v>1</v>
      </c>
      <c r="J20" s="1622">
        <f>IF(H20/G20&gt;1,1,H20/G20)</f>
        <v>1</v>
      </c>
      <c r="K20" s="212" t="s">
        <v>2564</v>
      </c>
      <c r="L20" s="29" t="s">
        <v>23</v>
      </c>
      <c r="O20" s="29" t="s">
        <v>2163</v>
      </c>
    </row>
    <row r="21" spans="1:16" ht="21" customHeight="1" x14ac:dyDescent="0.2">
      <c r="A21" s="192" t="s">
        <v>2565</v>
      </c>
      <c r="B21" s="207"/>
      <c r="C21" s="207" t="s">
        <v>2566</v>
      </c>
      <c r="D21" s="2032"/>
      <c r="E21" s="235" t="s">
        <v>682</v>
      </c>
      <c r="F21" s="1630"/>
      <c r="G21" s="1630"/>
      <c r="H21" s="1630"/>
      <c r="I21" s="1630"/>
      <c r="J21" s="1630"/>
      <c r="K21" s="152"/>
      <c r="L21" s="29" t="s">
        <v>2567</v>
      </c>
      <c r="O21" s="29"/>
    </row>
    <row r="22" spans="1:16" ht="24.75" customHeight="1" x14ac:dyDescent="0.2">
      <c r="A22" s="192" t="s">
        <v>2568</v>
      </c>
      <c r="B22" s="192" t="s">
        <v>2569</v>
      </c>
      <c r="C22" s="192"/>
      <c r="D22" s="217" t="s">
        <v>2570</v>
      </c>
      <c r="E22" s="235" t="s">
        <v>682</v>
      </c>
      <c r="F22" s="22">
        <v>1</v>
      </c>
      <c r="G22" s="23">
        <v>1</v>
      </c>
      <c r="H22" s="17">
        <f>COUNTIF(E22,"S")</f>
        <v>1</v>
      </c>
      <c r="I22" s="27">
        <f>H22/F22</f>
        <v>1</v>
      </c>
      <c r="J22" s="27">
        <f>IF(H22/G22&gt;1,1,H22/G22)</f>
        <v>1</v>
      </c>
      <c r="K22" s="212" t="s">
        <v>2536</v>
      </c>
      <c r="L22" s="29" t="s">
        <v>2410</v>
      </c>
      <c r="O22" s="315"/>
    </row>
    <row r="23" spans="1:16" ht="27" customHeight="1" x14ac:dyDescent="0.2">
      <c r="A23" s="192" t="s">
        <v>2571</v>
      </c>
      <c r="B23" s="192" t="s">
        <v>2572</v>
      </c>
      <c r="C23" s="192" t="s">
        <v>2573</v>
      </c>
      <c r="D23" s="217" t="s">
        <v>2574</v>
      </c>
      <c r="E23" s="235" t="s">
        <v>682</v>
      </c>
      <c r="F23" s="22">
        <v>1</v>
      </c>
      <c r="G23" s="23">
        <v>1</v>
      </c>
      <c r="H23" s="17">
        <f>COUNTIF(E23,"S")</f>
        <v>1</v>
      </c>
      <c r="I23" s="27">
        <f>H23/F23</f>
        <v>1</v>
      </c>
      <c r="J23" s="27">
        <f>IF(H23/G23&gt;1,1,H23/G23)</f>
        <v>1</v>
      </c>
      <c r="K23" s="212" t="s">
        <v>2405</v>
      </c>
      <c r="L23" s="29" t="s">
        <v>2410</v>
      </c>
      <c r="O23" s="29"/>
    </row>
    <row r="24" spans="1:16" ht="26.25" customHeight="1" x14ac:dyDescent="0.2">
      <c r="A24" s="192"/>
      <c r="B24" s="192" t="s">
        <v>2575</v>
      </c>
      <c r="C24" s="192"/>
      <c r="D24" s="217" t="s">
        <v>2576</v>
      </c>
      <c r="E24" s="235" t="s">
        <v>682</v>
      </c>
      <c r="F24" s="22">
        <v>1</v>
      </c>
      <c r="G24" s="23">
        <v>1</v>
      </c>
      <c r="H24" s="17">
        <f>COUNTIF(E24,"S")</f>
        <v>1</v>
      </c>
      <c r="I24" s="27">
        <f>H24/F24</f>
        <v>1</v>
      </c>
      <c r="J24" s="27">
        <f>IF(H24/G24&gt;1,1,H24/G24)</f>
        <v>1</v>
      </c>
      <c r="K24" s="212" t="s">
        <v>2405</v>
      </c>
      <c r="L24" s="29" t="s">
        <v>2410</v>
      </c>
      <c r="O24" s="315"/>
    </row>
    <row r="25" spans="1:16" ht="30.75" customHeight="1" x14ac:dyDescent="0.2">
      <c r="A25" s="192" t="s">
        <v>117</v>
      </c>
      <c r="B25" s="192" t="s">
        <v>2577</v>
      </c>
      <c r="C25" s="192" t="s">
        <v>2578</v>
      </c>
      <c r="D25" s="217" t="s">
        <v>2579</v>
      </c>
      <c r="E25" s="235" t="s">
        <v>682</v>
      </c>
      <c r="F25" s="22">
        <v>1</v>
      </c>
      <c r="G25" s="23">
        <v>1</v>
      </c>
      <c r="H25" s="17">
        <f>COUNTIF(E25,"S")</f>
        <v>1</v>
      </c>
      <c r="I25" s="27">
        <f>H25/F25</f>
        <v>1</v>
      </c>
      <c r="J25" s="27">
        <f>IF(H25/G25&gt;1,1,H25/G25)</f>
        <v>1</v>
      </c>
      <c r="K25" s="212" t="s">
        <v>2405</v>
      </c>
      <c r="L25" s="29" t="s">
        <v>2410</v>
      </c>
      <c r="O25" s="29"/>
    </row>
    <row r="26" spans="1:16" ht="18.75" customHeight="1" x14ac:dyDescent="0.2">
      <c r="A26" s="192" t="s">
        <v>2580</v>
      </c>
      <c r="B26" s="192" t="s">
        <v>2581</v>
      </c>
      <c r="C26" s="216" t="s">
        <v>2582</v>
      </c>
      <c r="D26" s="2031" t="s">
        <v>2583</v>
      </c>
      <c r="E26" s="235" t="s">
        <v>682</v>
      </c>
      <c r="F26" s="1998">
        <v>2</v>
      </c>
      <c r="G26" s="1631">
        <v>1</v>
      </c>
      <c r="H26" s="2027">
        <f>COUNTIF(E26:E27, "S")</f>
        <v>2</v>
      </c>
      <c r="I26" s="1622">
        <f>H26/F26</f>
        <v>1</v>
      </c>
      <c r="J26" s="1622">
        <f>IF(H26/G26&gt;1,1,H26/G26)</f>
        <v>1</v>
      </c>
      <c r="K26" s="212" t="s">
        <v>2405</v>
      </c>
      <c r="L26" s="29" t="s">
        <v>2584</v>
      </c>
      <c r="O26" s="29"/>
    </row>
    <row r="27" spans="1:16" ht="18.75" customHeight="1" x14ac:dyDescent="0.2">
      <c r="A27" s="192" t="s">
        <v>2585</v>
      </c>
      <c r="B27" s="192"/>
      <c r="C27" s="207" t="s">
        <v>2586</v>
      </c>
      <c r="D27" s="2032"/>
      <c r="E27" s="235" t="s">
        <v>682</v>
      </c>
      <c r="F27" s="1999"/>
      <c r="G27" s="1633"/>
      <c r="H27" s="2028"/>
      <c r="I27" s="1624"/>
      <c r="J27" s="1624"/>
      <c r="K27" s="152"/>
      <c r="L27" s="29" t="s">
        <v>2584</v>
      </c>
      <c r="O27" s="29"/>
    </row>
    <row r="28" spans="1:16" ht="19.5" customHeight="1" x14ac:dyDescent="0.2">
      <c r="A28" s="192" t="s">
        <v>2587</v>
      </c>
      <c r="B28" s="192" t="s">
        <v>2588</v>
      </c>
      <c r="C28" s="216" t="s">
        <v>2589</v>
      </c>
      <c r="D28" s="2031" t="s">
        <v>2590</v>
      </c>
      <c r="E28" s="235" t="s">
        <v>682</v>
      </c>
      <c r="F28" s="1998">
        <v>2</v>
      </c>
      <c r="G28" s="1631">
        <v>1</v>
      </c>
      <c r="H28" s="1625">
        <f>COUNTIF(E28:E29, "S")</f>
        <v>2</v>
      </c>
      <c r="I28" s="1622">
        <f>H28/F28</f>
        <v>1</v>
      </c>
      <c r="J28" s="1622">
        <f>IF(H28/G28&gt;1,1,H28/G28)</f>
        <v>1</v>
      </c>
      <c r="K28" s="212" t="s">
        <v>2405</v>
      </c>
      <c r="L28" s="29" t="s">
        <v>2584</v>
      </c>
      <c r="O28" s="29"/>
      <c r="P28" s="185"/>
    </row>
    <row r="29" spans="1:16" ht="16.5" customHeight="1" x14ac:dyDescent="0.2">
      <c r="A29" s="192" t="s">
        <v>2591</v>
      </c>
      <c r="B29" s="192"/>
      <c r="C29" s="207" t="s">
        <v>2592</v>
      </c>
      <c r="D29" s="2032"/>
      <c r="E29" s="235" t="s">
        <v>682</v>
      </c>
      <c r="F29" s="1999"/>
      <c r="G29" s="1633"/>
      <c r="H29" s="1627"/>
      <c r="I29" s="1624"/>
      <c r="J29" s="1624"/>
      <c r="K29" s="152"/>
      <c r="L29" s="29" t="s">
        <v>2584</v>
      </c>
      <c r="O29" s="29"/>
    </row>
    <row r="30" spans="1:16" ht="24" customHeight="1" x14ac:dyDescent="0.2">
      <c r="A30" s="192" t="s">
        <v>2407</v>
      </c>
      <c r="B30" s="192" t="s">
        <v>2408</v>
      </c>
      <c r="C30" s="192" t="s">
        <v>2593</v>
      </c>
      <c r="D30" s="217" t="s">
        <v>2594</v>
      </c>
      <c r="E30" s="235" t="s">
        <v>682</v>
      </c>
      <c r="F30" s="22">
        <v>1</v>
      </c>
      <c r="G30" s="23">
        <v>1</v>
      </c>
      <c r="H30" s="119">
        <f>COUNTIF(E30,"S")</f>
        <v>1</v>
      </c>
      <c r="I30" s="27">
        <f>H30/F30</f>
        <v>1</v>
      </c>
      <c r="J30" s="27">
        <f>IF(H30/G30&gt;1,1,H30/G30)</f>
        <v>1</v>
      </c>
      <c r="K30" s="212" t="s">
        <v>2405</v>
      </c>
      <c r="L30" s="29" t="s">
        <v>2410</v>
      </c>
      <c r="O30" s="29"/>
    </row>
    <row r="31" spans="1:16" ht="24.75" customHeight="1" x14ac:dyDescent="0.2">
      <c r="A31" s="192" t="s">
        <v>2595</v>
      </c>
      <c r="B31" s="192" t="s">
        <v>2553</v>
      </c>
      <c r="C31" s="192" t="s">
        <v>2596</v>
      </c>
      <c r="D31" s="217" t="s">
        <v>2597</v>
      </c>
      <c r="E31" s="235" t="s">
        <v>682</v>
      </c>
      <c r="F31" s="22">
        <v>1</v>
      </c>
      <c r="G31" s="23">
        <v>1</v>
      </c>
      <c r="H31" s="17">
        <f>COUNTIF(E31,"S")</f>
        <v>1</v>
      </c>
      <c r="I31" s="28">
        <f>H31/F31</f>
        <v>1</v>
      </c>
      <c r="J31" s="28">
        <f>IF(H31/G31&gt;1,1,H31/G31)</f>
        <v>1</v>
      </c>
      <c r="K31" s="212" t="s">
        <v>2405</v>
      </c>
      <c r="L31" s="29" t="s">
        <v>2598</v>
      </c>
      <c r="O31" s="29"/>
    </row>
    <row r="32" spans="1:16" ht="22.5" customHeight="1" x14ac:dyDescent="0.2">
      <c r="A32" s="192" t="s">
        <v>2599</v>
      </c>
      <c r="B32" s="192" t="s">
        <v>2557</v>
      </c>
      <c r="C32" s="192" t="s">
        <v>2600</v>
      </c>
      <c r="D32" s="217" t="s">
        <v>2601</v>
      </c>
      <c r="E32" s="235" t="s">
        <v>682</v>
      </c>
      <c r="F32" s="22">
        <v>1</v>
      </c>
      <c r="G32" s="23">
        <v>1</v>
      </c>
      <c r="H32" s="17">
        <f>COUNTIF(E32,"S")</f>
        <v>1</v>
      </c>
      <c r="I32" s="27">
        <f>H32/F32</f>
        <v>1</v>
      </c>
      <c r="J32" s="27">
        <f>IF(H32/G32&gt;1,1,H32/G32)</f>
        <v>1</v>
      </c>
      <c r="K32" s="224" t="s">
        <v>2405</v>
      </c>
      <c r="L32" s="29" t="s">
        <v>2559</v>
      </c>
      <c r="O32" s="29" t="s">
        <v>2602</v>
      </c>
    </row>
    <row r="33" spans="1:16" ht="19.5" customHeight="1" x14ac:dyDescent="0.2">
      <c r="A33" s="192" t="s">
        <v>2603</v>
      </c>
      <c r="B33" s="192" t="s">
        <v>2604</v>
      </c>
      <c r="C33" s="216"/>
      <c r="D33" s="2031" t="s">
        <v>2605</v>
      </c>
      <c r="E33" s="235" t="s">
        <v>682</v>
      </c>
      <c r="F33" s="1998">
        <v>2</v>
      </c>
      <c r="G33" s="1631">
        <v>1</v>
      </c>
      <c r="H33" s="1625">
        <f>COUNTIF(E33:E34, "S")</f>
        <v>2</v>
      </c>
      <c r="I33" s="1622">
        <f>H33/F33</f>
        <v>1</v>
      </c>
      <c r="J33" s="1622">
        <f>IF(H33/G33&gt;1,1,H33/G33)</f>
        <v>1</v>
      </c>
      <c r="K33" s="212" t="s">
        <v>2405</v>
      </c>
      <c r="L33" s="243" t="s">
        <v>2410</v>
      </c>
      <c r="O33" s="29"/>
    </row>
    <row r="34" spans="1:16" ht="16.5" customHeight="1" x14ac:dyDescent="0.2">
      <c r="A34" s="192" t="s">
        <v>2606</v>
      </c>
      <c r="B34" s="192" t="s">
        <v>2607</v>
      </c>
      <c r="C34" s="207"/>
      <c r="D34" s="2032"/>
      <c r="E34" s="235" t="s">
        <v>682</v>
      </c>
      <c r="F34" s="1999"/>
      <c r="G34" s="1633"/>
      <c r="H34" s="1627"/>
      <c r="I34" s="1624"/>
      <c r="J34" s="1624"/>
      <c r="K34" s="212" t="s">
        <v>2405</v>
      </c>
      <c r="L34" s="243"/>
      <c r="O34" s="29" t="s">
        <v>2608</v>
      </c>
      <c r="P34" s="185"/>
    </row>
    <row r="35" spans="1:16" ht="22.5" customHeight="1" x14ac:dyDescent="0.2">
      <c r="A35" s="192"/>
      <c r="B35" s="192"/>
      <c r="C35" s="192"/>
      <c r="D35" s="217" t="s">
        <v>2609</v>
      </c>
      <c r="E35" s="319"/>
      <c r="F35" s="22">
        <v>1</v>
      </c>
      <c r="G35" s="23">
        <v>1</v>
      </c>
      <c r="H35" s="315"/>
      <c r="I35" s="27">
        <f>H35/F35</f>
        <v>0</v>
      </c>
      <c r="J35" s="27">
        <f>IF(H35/G35&gt;1,1,H35/G35)</f>
        <v>0</v>
      </c>
      <c r="K35" s="224" t="s">
        <v>2405</v>
      </c>
      <c r="L35" s="29"/>
      <c r="O35" s="244" t="s">
        <v>2610</v>
      </c>
    </row>
    <row r="43" spans="1:16" x14ac:dyDescent="0.2">
      <c r="D43" s="227" t="s">
        <v>489</v>
      </c>
      <c r="E43" s="167"/>
      <c r="F43"/>
      <c r="G43"/>
      <c r="H43"/>
      <c r="I43"/>
      <c r="J43"/>
      <c r="L43"/>
      <c r="O43"/>
    </row>
    <row r="44" spans="1:16" ht="12.75" hidden="1" customHeight="1" x14ac:dyDescent="0.2">
      <c r="D44" s="104" t="s">
        <v>490</v>
      </c>
      <c r="F44"/>
      <c r="G44"/>
      <c r="H44"/>
      <c r="I44"/>
      <c r="J44"/>
      <c r="L44"/>
      <c r="O44"/>
    </row>
    <row r="45" spans="1:16" x14ac:dyDescent="0.2">
      <c r="D45" s="228"/>
      <c r="F45"/>
      <c r="G45"/>
      <c r="H45"/>
      <c r="I45"/>
      <c r="J45"/>
      <c r="L45"/>
      <c r="O45"/>
    </row>
    <row r="46" spans="1:16" x14ac:dyDescent="0.2">
      <c r="D46" s="227" t="s">
        <v>491</v>
      </c>
      <c r="F46"/>
      <c r="G46"/>
      <c r="H46"/>
      <c r="I46"/>
      <c r="J46"/>
      <c r="L46"/>
      <c r="O46"/>
    </row>
    <row r="47" spans="1:16" x14ac:dyDescent="0.2">
      <c r="D47" s="227" t="s">
        <v>492</v>
      </c>
      <c r="F47"/>
      <c r="G47"/>
      <c r="H47"/>
      <c r="I47"/>
      <c r="J47"/>
      <c r="L47"/>
      <c r="O47"/>
    </row>
    <row r="48" spans="1:16" x14ac:dyDescent="0.2">
      <c r="D48" s="228"/>
      <c r="F48"/>
      <c r="G48"/>
      <c r="H48"/>
      <c r="I48"/>
      <c r="J48"/>
      <c r="L48"/>
      <c r="O48"/>
    </row>
    <row r="49" spans="4:15" x14ac:dyDescent="0.2">
      <c r="D49" s="227" t="s">
        <v>2611</v>
      </c>
      <c r="F49"/>
      <c r="G49"/>
      <c r="H49"/>
      <c r="I49"/>
      <c r="J49"/>
      <c r="L49"/>
      <c r="O49"/>
    </row>
    <row r="50" spans="4:15" x14ac:dyDescent="0.2">
      <c r="D50" s="227" t="s">
        <v>2612</v>
      </c>
      <c r="F50"/>
      <c r="G50"/>
      <c r="H50"/>
      <c r="I50"/>
      <c r="J50"/>
      <c r="L50"/>
      <c r="O50"/>
    </row>
  </sheetData>
  <sheetProtection insertRows="0"/>
  <mergeCells count="53">
    <mergeCell ref="J26:J27"/>
    <mergeCell ref="D28:D29"/>
    <mergeCell ref="J28:J29"/>
    <mergeCell ref="D33:D34"/>
    <mergeCell ref="F33:F34"/>
    <mergeCell ref="G33:G34"/>
    <mergeCell ref="H33:H34"/>
    <mergeCell ref="I33:I34"/>
    <mergeCell ref="J33:J34"/>
    <mergeCell ref="F26:F27"/>
    <mergeCell ref="F28:F29"/>
    <mergeCell ref="D26:D27"/>
    <mergeCell ref="I26:I27"/>
    <mergeCell ref="I28:I29"/>
    <mergeCell ref="G26:G27"/>
    <mergeCell ref="G28:G29"/>
    <mergeCell ref="D16:D17"/>
    <mergeCell ref="H16:H17"/>
    <mergeCell ref="D20:D21"/>
    <mergeCell ref="J20:J21"/>
    <mergeCell ref="H20:H21"/>
    <mergeCell ref="G20:G21"/>
    <mergeCell ref="I20:I21"/>
    <mergeCell ref="F20:F21"/>
    <mergeCell ref="D12:D13"/>
    <mergeCell ref="H12:H13"/>
    <mergeCell ref="F12:F13"/>
    <mergeCell ref="D14:D15"/>
    <mergeCell ref="H14:H15"/>
    <mergeCell ref="G12:G13"/>
    <mergeCell ref="A8:D8"/>
    <mergeCell ref="E8:K8"/>
    <mergeCell ref="A9:D9"/>
    <mergeCell ref="E9:K9"/>
    <mergeCell ref="A10:D10"/>
    <mergeCell ref="E10:K10"/>
    <mergeCell ref="A5:D5"/>
    <mergeCell ref="E5:K5"/>
    <mergeCell ref="A6:D6"/>
    <mergeCell ref="E6:K6"/>
    <mergeCell ref="A7:D7"/>
    <mergeCell ref="E7:K7"/>
    <mergeCell ref="A1:K1"/>
    <mergeCell ref="A2:K2"/>
    <mergeCell ref="A3:K3"/>
    <mergeCell ref="M3:N3"/>
    <mergeCell ref="A4:K4"/>
    <mergeCell ref="H28:H29"/>
    <mergeCell ref="H26:H27"/>
    <mergeCell ref="F14:F15"/>
    <mergeCell ref="G16:G17"/>
    <mergeCell ref="F16:F17"/>
    <mergeCell ref="G14:G15"/>
  </mergeCells>
  <phoneticPr fontId="5" type="noConversion"/>
  <conditionalFormatting sqref="H22:H25 H12:H13 H31 H16:H20">
    <cfRule type="cellIs" dxfId="30" priority="214" stopIfTrue="1" operator="lessThan">
      <formula>$G$12</formula>
    </cfRule>
  </conditionalFormatting>
  <conditionalFormatting sqref="H30">
    <cfRule type="colorScale" priority="199">
      <colorScale>
        <cfvo type="num" val="0"/>
        <cfvo type="num" val="1"/>
        <color rgb="FFFF0000"/>
        <color rgb="FF00FF00"/>
      </colorScale>
    </cfRule>
    <cfRule type="cellIs" dxfId="29" priority="215" stopIfTrue="1" operator="lessThan">
      <formula>$G$30</formula>
    </cfRule>
  </conditionalFormatting>
  <conditionalFormatting sqref="H26:H27">
    <cfRule type="colorScale" priority="201">
      <colorScale>
        <cfvo type="num" val="0"/>
        <cfvo type="percentile" val="50"/>
        <cfvo type="num" val="2"/>
        <color rgb="FFF8696B"/>
        <color rgb="FF00FF00"/>
        <color rgb="FF00FF00"/>
      </colorScale>
    </cfRule>
    <cfRule type="colorScale" priority="213">
      <colorScale>
        <cfvo type="num" val="0"/>
        <cfvo type="num" val="1"/>
        <cfvo type="num" val="2"/>
        <color rgb="FFFF0000"/>
        <color rgb="FFFFFF00"/>
        <color rgb="FF00FF00"/>
      </colorScale>
    </cfRule>
    <cfRule type="cellIs" dxfId="28" priority="216" stopIfTrue="1" operator="lessThan">
      <formula>$G$26</formula>
    </cfRule>
  </conditionalFormatting>
  <conditionalFormatting sqref="H28:H29">
    <cfRule type="colorScale" priority="200">
      <colorScale>
        <cfvo type="num" val="0"/>
        <cfvo type="percentile" val="50"/>
        <cfvo type="num" val="2"/>
        <color rgb="FFFF0000"/>
        <color rgb="FF00FF00"/>
        <color rgb="FF00FF00"/>
      </colorScale>
    </cfRule>
    <cfRule type="colorScale" priority="212">
      <colorScale>
        <cfvo type="num" val="0"/>
        <cfvo type="num" val="1"/>
        <cfvo type="num" val="2"/>
        <color rgb="FFFF0000"/>
        <color rgb="FFFFFF00"/>
        <color rgb="FF00FF00"/>
      </colorScale>
    </cfRule>
    <cfRule type="cellIs" dxfId="27" priority="217" stopIfTrue="1" operator="lessThan">
      <formula>$G$28</formula>
    </cfRule>
  </conditionalFormatting>
  <conditionalFormatting sqref="H22">
    <cfRule type="colorScale" priority="205">
      <colorScale>
        <cfvo type="min"/>
        <cfvo type="num" val="1"/>
        <color rgb="FFFF0000"/>
        <color rgb="FF00FF00"/>
      </colorScale>
    </cfRule>
    <cfRule type="colorScale" priority="211">
      <colorScale>
        <cfvo type="num" val="0"/>
        <cfvo type="num" val="1"/>
        <color rgb="FFFF0000"/>
        <color rgb="FF00FF00"/>
      </colorScale>
    </cfRule>
  </conditionalFormatting>
  <conditionalFormatting sqref="H12:H13">
    <cfRule type="colorScale" priority="210">
      <colorScale>
        <cfvo type="num" val="0"/>
        <cfvo type="percentile" val="50"/>
        <cfvo type="num" val="2"/>
        <color rgb="FFFF0000"/>
        <color rgb="FF00FF00"/>
        <color rgb="FF00FF00"/>
      </colorScale>
    </cfRule>
  </conditionalFormatting>
  <conditionalFormatting sqref="H14:H15">
    <cfRule type="colorScale" priority="209">
      <colorScale>
        <cfvo type="num" val="0"/>
        <cfvo type="percentile" val="50"/>
        <cfvo type="num" val="1"/>
        <color rgb="FFFF0000"/>
        <color rgb="FF00FF00"/>
        <color rgb="FF00FF00"/>
      </colorScale>
    </cfRule>
  </conditionalFormatting>
  <conditionalFormatting sqref="H16:H17">
    <cfRule type="colorScale" priority="208">
      <colorScale>
        <cfvo type="num" val="0"/>
        <cfvo type="percentile" val="50"/>
        <cfvo type="max"/>
        <color rgb="FFFF0000"/>
        <color rgb="FF00FF00"/>
        <color rgb="FF00FF00"/>
      </colorScale>
    </cfRule>
  </conditionalFormatting>
  <conditionalFormatting sqref="H18">
    <cfRule type="colorScale" priority="207">
      <colorScale>
        <cfvo type="num" val="0"/>
        <cfvo type="num" val="1"/>
        <color rgb="FFFF0000"/>
        <color rgb="FF00FF00"/>
      </colorScale>
    </cfRule>
  </conditionalFormatting>
  <conditionalFormatting sqref="H20:H21">
    <cfRule type="colorScale" priority="206">
      <colorScale>
        <cfvo type="num" val="0"/>
        <cfvo type="percentile" val="50"/>
        <cfvo type="num" val="2"/>
        <color rgb="FFFF0000"/>
        <color rgb="FF00FF00"/>
        <color rgb="FF00FF00"/>
      </colorScale>
    </cfRule>
  </conditionalFormatting>
  <conditionalFormatting sqref="H23">
    <cfRule type="colorScale" priority="204">
      <colorScale>
        <cfvo type="num" val="0"/>
        <cfvo type="num" val="1"/>
        <color rgb="FFFF0000"/>
        <color rgb="FF00FF00"/>
      </colorScale>
    </cfRule>
  </conditionalFormatting>
  <conditionalFormatting sqref="H24">
    <cfRule type="colorScale" priority="203">
      <colorScale>
        <cfvo type="num" val="0"/>
        <cfvo type="num" val="1"/>
        <color rgb="FFFF0000"/>
        <color rgb="FF00FF00"/>
      </colorScale>
    </cfRule>
  </conditionalFormatting>
  <conditionalFormatting sqref="H25">
    <cfRule type="colorScale" priority="202">
      <colorScale>
        <cfvo type="num" val="0"/>
        <cfvo type="num" val="1"/>
        <color rgb="FFFF0000"/>
        <color rgb="FF00FF00"/>
      </colorScale>
    </cfRule>
  </conditionalFormatting>
  <conditionalFormatting sqref="H19">
    <cfRule type="colorScale" priority="198">
      <colorScale>
        <cfvo type="num" val="0"/>
        <cfvo type="num" val="1"/>
        <color rgb="FFFF0000"/>
        <color rgb="FF00FF00"/>
      </colorScale>
    </cfRule>
  </conditionalFormatting>
  <conditionalFormatting sqref="H31">
    <cfRule type="colorScale" priority="197">
      <colorScale>
        <cfvo type="num" val="0"/>
        <cfvo type="num" val="1"/>
        <color rgb="FFFF0000"/>
        <color rgb="FF00FF00"/>
      </colorScale>
    </cfRule>
  </conditionalFormatting>
  <conditionalFormatting sqref="H32">
    <cfRule type="cellIs" dxfId="26" priority="193" stopIfTrue="1" operator="lessThan">
      <formula>$G$12</formula>
    </cfRule>
  </conditionalFormatting>
  <conditionalFormatting sqref="H32">
    <cfRule type="colorScale" priority="192">
      <colorScale>
        <cfvo type="num" val="0"/>
        <cfvo type="num" val="1"/>
        <color rgb="FFFF0000"/>
        <color rgb="FF00FF00"/>
      </colorScale>
    </cfRule>
  </conditionalFormatting>
  <conditionalFormatting sqref="H33:H34">
    <cfRule type="colorScale" priority="189">
      <colorScale>
        <cfvo type="num" val="0"/>
        <cfvo type="percentile" val="50"/>
        <cfvo type="num" val="2"/>
        <color rgb="FFFF0000"/>
        <color rgb="FF00FF00"/>
        <color rgb="FF00FF00"/>
      </colorScale>
    </cfRule>
    <cfRule type="colorScale" priority="190">
      <colorScale>
        <cfvo type="num" val="0"/>
        <cfvo type="num" val="1"/>
        <cfvo type="num" val="2"/>
        <color rgb="FFFF0000"/>
        <color rgb="FFFFFF00"/>
        <color rgb="FF00FF00"/>
      </colorScale>
    </cfRule>
    <cfRule type="cellIs" dxfId="25" priority="191" stopIfTrue="1" operator="lessThan">
      <formula>$G$28</formula>
    </cfRule>
  </conditionalFormatting>
  <conditionalFormatting sqref="E12:E35">
    <cfRule type="cellIs" dxfId="24" priority="177" stopIfTrue="1" operator="equal">
      <formula>$M$4</formula>
    </cfRule>
    <cfRule type="cellIs" dxfId="23" priority="178" stopIfTrue="1" operator="equal">
      <formula>$M$5</formula>
    </cfRule>
    <cfRule type="cellIs" dxfId="22" priority="179" stopIfTrue="1" operator="equal">
      <formula>$M$6</formula>
    </cfRule>
  </conditionalFormatting>
  <conditionalFormatting sqref="E12:E35">
    <cfRule type="cellIs" dxfId="21" priority="171" stopIfTrue="1" operator="equal">
      <formula>$M$4</formula>
    </cfRule>
    <cfRule type="cellIs" dxfId="20" priority="172" stopIfTrue="1" operator="equal">
      <formula>$M$5</formula>
    </cfRule>
    <cfRule type="cellIs" dxfId="19" priority="173" stopIfTrue="1" operator="equal">
      <formula>$M$6</formula>
    </cfRule>
  </conditionalFormatting>
  <conditionalFormatting sqref="H35">
    <cfRule type="cellIs" dxfId="18" priority="23" stopIfTrue="1" operator="lessThan">
      <formula>$G$12</formula>
    </cfRule>
  </conditionalFormatting>
  <conditionalFormatting sqref="H35">
    <cfRule type="colorScale" priority="22">
      <colorScale>
        <cfvo type="num" val="0"/>
        <cfvo type="num" val="1"/>
        <color rgb="FFFF0000"/>
        <color rgb="FF00FF00"/>
      </colorScale>
    </cfRule>
  </conditionalFormatting>
  <dataValidations disablePrompts="1" xWindow="574" yWindow="548" count="1">
    <dataValidation type="list" showErrorMessage="1" errorTitle="Invalid Entry" error="Please only choose _x000a_S, U/S, DEPLOYED, and PAST INSP DUE" promptTitle="Current Item Condition " prompt="Please, Indicates current item's condition._x000a__x000a_S = Serviceable_x000a__x000a_U/S = UnServiceable/Damaged/under repair/replacement required_x000a__x000a_Deployed = RIP/HLTA/Temp Loan to remote locations_x000a__x000a_Past Insp Due = item pass the it's inspection date due  " sqref="E12:E35" xr:uid="{B08E0505-5F8E-4E26-8E7C-09B66BE21454}">
      <formula1>$M$4:$M$8</formula1>
    </dataValidation>
  </dataValidations>
  <printOptions horizontalCentered="1"/>
  <pageMargins left="0.75" right="0.75" top="1" bottom="1" header="0.5" footer="0.5"/>
  <pageSetup scale="44" orientation="landscape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A855-51C7-49D8-AB17-D4E493EC6BEA}">
  <sheetPr codeName="Sheet22">
    <tabColor rgb="FF0070C0"/>
  </sheetPr>
  <dimension ref="C2:S46"/>
  <sheetViews>
    <sheetView workbookViewId="0">
      <selection activeCell="C12" sqref="C12"/>
    </sheetView>
  </sheetViews>
  <sheetFormatPr defaultRowHeight="12.75" x14ac:dyDescent="0.2"/>
  <cols>
    <col min="1" max="2" width="9.140625" style="857"/>
    <col min="3" max="3" width="27.28515625" style="857" customWidth="1"/>
    <col min="4" max="16384" width="9.140625" style="857"/>
  </cols>
  <sheetData>
    <row r="2" spans="3:19" ht="13.5" thickBot="1" x14ac:dyDescent="0.25"/>
    <row r="3" spans="3:19" ht="16.5" thickBot="1" x14ac:dyDescent="0.25">
      <c r="C3" s="859" t="s">
        <v>2613</v>
      </c>
      <c r="L3" s="859" t="s">
        <v>23</v>
      </c>
      <c r="N3" s="2033" t="s">
        <v>2614</v>
      </c>
      <c r="O3" s="2034"/>
      <c r="P3" s="2034"/>
      <c r="Q3" s="2034"/>
      <c r="R3" s="2034"/>
      <c r="S3" s="2035"/>
    </row>
    <row r="4" spans="3:19" ht="16.5" thickBot="1" x14ac:dyDescent="0.25">
      <c r="C4" s="858"/>
      <c r="L4" s="858" t="s">
        <v>2615</v>
      </c>
    </row>
    <row r="5" spans="3:19" ht="16.5" thickBot="1" x14ac:dyDescent="0.25">
      <c r="C5" s="858" t="s">
        <v>2616</v>
      </c>
      <c r="E5" s="2039" t="s">
        <v>2617</v>
      </c>
      <c r="F5" s="2040"/>
      <c r="G5" s="2040"/>
      <c r="H5" s="2040"/>
      <c r="I5" s="2040"/>
      <c r="J5" s="2041"/>
      <c r="L5" s="858" t="s">
        <v>2618</v>
      </c>
    </row>
    <row r="6" spans="3:19" ht="15.75" x14ac:dyDescent="0.2">
      <c r="C6" s="858" t="s">
        <v>2619</v>
      </c>
      <c r="L6" s="858" t="s">
        <v>2620</v>
      </c>
    </row>
    <row r="7" spans="3:19" ht="15.75" x14ac:dyDescent="0.2">
      <c r="C7" s="858" t="s">
        <v>2621</v>
      </c>
      <c r="L7" s="858" t="s">
        <v>2622</v>
      </c>
    </row>
    <row r="8" spans="3:19" ht="16.5" thickBot="1" x14ac:dyDescent="0.25">
      <c r="C8" s="858" t="s">
        <v>2623</v>
      </c>
      <c r="L8" s="858"/>
    </row>
    <row r="9" spans="3:19" ht="16.5" thickBot="1" x14ac:dyDescent="0.25">
      <c r="C9" s="858"/>
      <c r="L9" s="858" t="s">
        <v>2615</v>
      </c>
      <c r="N9" s="2033" t="s">
        <v>1958</v>
      </c>
      <c r="O9" s="2034"/>
      <c r="P9" s="2034"/>
      <c r="Q9" s="2034"/>
      <c r="R9" s="2034"/>
      <c r="S9" s="2035"/>
    </row>
    <row r="10" spans="3:19" ht="16.5" thickBot="1" x14ac:dyDescent="0.25">
      <c r="C10" s="858" t="s">
        <v>2616</v>
      </c>
      <c r="E10" s="2039" t="s">
        <v>2617</v>
      </c>
      <c r="F10" s="2040"/>
      <c r="G10" s="2040"/>
      <c r="H10" s="2040"/>
      <c r="I10" s="2040"/>
      <c r="J10" s="2041"/>
      <c r="L10" s="858" t="s">
        <v>2618</v>
      </c>
    </row>
    <row r="11" spans="3:19" ht="15.75" x14ac:dyDescent="0.2">
      <c r="C11" s="858" t="s">
        <v>2619</v>
      </c>
      <c r="L11" s="858" t="s">
        <v>2620</v>
      </c>
    </row>
    <row r="12" spans="3:19" ht="15.75" x14ac:dyDescent="0.2">
      <c r="C12" s="858" t="s">
        <v>2621</v>
      </c>
      <c r="L12" s="858" t="s">
        <v>2624</v>
      </c>
    </row>
    <row r="13" spans="3:19" ht="16.5" thickBot="1" x14ac:dyDescent="0.25">
      <c r="C13" s="858" t="s">
        <v>2625</v>
      </c>
      <c r="L13" s="858"/>
    </row>
    <row r="14" spans="3:19" ht="16.5" thickBot="1" x14ac:dyDescent="0.25">
      <c r="C14" s="858"/>
      <c r="L14" s="858" t="s">
        <v>2615</v>
      </c>
      <c r="N14" s="2036" t="s">
        <v>2626</v>
      </c>
      <c r="O14" s="2037"/>
      <c r="P14" s="2037"/>
      <c r="Q14" s="2037"/>
      <c r="R14" s="2037"/>
      <c r="S14" s="2038"/>
    </row>
    <row r="15" spans="3:19" ht="16.5" thickBot="1" x14ac:dyDescent="0.25">
      <c r="C15" s="858" t="s">
        <v>2615</v>
      </c>
      <c r="E15" s="2039" t="s">
        <v>2627</v>
      </c>
      <c r="F15" s="2040"/>
      <c r="G15" s="2040"/>
      <c r="H15" s="2040"/>
      <c r="I15" s="2040"/>
      <c r="J15" s="2041"/>
      <c r="L15" s="858" t="s">
        <v>2618</v>
      </c>
    </row>
    <row r="16" spans="3:19" ht="15.75" x14ac:dyDescent="0.2">
      <c r="C16" s="858" t="s">
        <v>2618</v>
      </c>
      <c r="L16" s="858" t="s">
        <v>2620</v>
      </c>
    </row>
    <row r="17" spans="3:12" ht="15.75" x14ac:dyDescent="0.2">
      <c r="C17" s="858" t="s">
        <v>2620</v>
      </c>
      <c r="L17" s="858" t="s">
        <v>2628</v>
      </c>
    </row>
    <row r="18" spans="3:12" ht="15.75" x14ac:dyDescent="0.2">
      <c r="C18" s="858" t="s">
        <v>2629</v>
      </c>
    </row>
    <row r="20" spans="3:12" ht="15.75" x14ac:dyDescent="0.2">
      <c r="C20" s="859" t="s">
        <v>130</v>
      </c>
    </row>
    <row r="21" spans="3:12" ht="16.5" thickBot="1" x14ac:dyDescent="0.25">
      <c r="C21" s="858"/>
    </row>
    <row r="22" spans="3:12" ht="16.5" thickBot="1" x14ac:dyDescent="0.25">
      <c r="C22" s="858" t="s">
        <v>2615</v>
      </c>
      <c r="E22" s="2039" t="s">
        <v>2630</v>
      </c>
      <c r="F22" s="2040"/>
      <c r="G22" s="2040"/>
      <c r="H22" s="2040"/>
      <c r="I22" s="2040"/>
      <c r="J22" s="2041"/>
    </row>
    <row r="23" spans="3:12" ht="15.75" x14ac:dyDescent="0.2">
      <c r="C23" s="858" t="s">
        <v>2618</v>
      </c>
    </row>
    <row r="24" spans="3:12" ht="15.75" x14ac:dyDescent="0.2">
      <c r="C24" s="858" t="s">
        <v>2620</v>
      </c>
    </row>
    <row r="25" spans="3:12" ht="15.75" x14ac:dyDescent="0.2">
      <c r="C25" s="858" t="s">
        <v>2631</v>
      </c>
    </row>
    <row r="26" spans="3:12" ht="16.5" thickBot="1" x14ac:dyDescent="0.25">
      <c r="C26" s="858"/>
    </row>
    <row r="27" spans="3:12" ht="16.5" thickBot="1" x14ac:dyDescent="0.25">
      <c r="C27" s="858" t="s">
        <v>2632</v>
      </c>
      <c r="E27" s="2042" t="s">
        <v>2633</v>
      </c>
      <c r="F27" s="2043"/>
      <c r="G27" s="2043"/>
      <c r="H27" s="2043"/>
      <c r="I27" s="2043"/>
      <c r="J27" s="2044"/>
    </row>
    <row r="28" spans="3:12" ht="15.75" x14ac:dyDescent="0.2">
      <c r="C28" s="858" t="s">
        <v>2634</v>
      </c>
    </row>
    <row r="29" spans="3:12" ht="15.75" x14ac:dyDescent="0.2">
      <c r="C29" s="858" t="s">
        <v>2635</v>
      </c>
      <c r="E29" s="2045" t="s">
        <v>2636</v>
      </c>
      <c r="F29" s="2045"/>
      <c r="G29" s="2045"/>
      <c r="H29" s="2045"/>
      <c r="I29" s="2045"/>
      <c r="J29" s="2045"/>
    </row>
    <row r="30" spans="3:12" ht="15.75" x14ac:dyDescent="0.2">
      <c r="C30" s="858" t="s">
        <v>2637</v>
      </c>
    </row>
    <row r="31" spans="3:12" ht="13.5" thickBot="1" x14ac:dyDescent="0.25"/>
    <row r="32" spans="3:12" ht="16.5" thickBot="1" x14ac:dyDescent="0.25">
      <c r="C32" s="860" t="s">
        <v>67</v>
      </c>
      <c r="D32" s="861"/>
      <c r="E32" s="2039" t="s">
        <v>2638</v>
      </c>
      <c r="F32" s="2040"/>
      <c r="G32" s="2040"/>
      <c r="H32" s="2040"/>
      <c r="I32" s="2040"/>
      <c r="J32" s="2041"/>
    </row>
    <row r="33" spans="3:3" ht="15.75" x14ac:dyDescent="0.2">
      <c r="C33" s="858"/>
    </row>
    <row r="34" spans="3:3" ht="15.75" x14ac:dyDescent="0.2">
      <c r="C34" s="858" t="s">
        <v>2632</v>
      </c>
    </row>
    <row r="35" spans="3:3" ht="15.75" x14ac:dyDescent="0.2">
      <c r="C35" s="858" t="s">
        <v>2634</v>
      </c>
    </row>
    <row r="36" spans="3:3" ht="15.75" x14ac:dyDescent="0.2">
      <c r="C36" s="858" t="s">
        <v>2635</v>
      </c>
    </row>
    <row r="37" spans="3:3" ht="15.75" x14ac:dyDescent="0.2">
      <c r="C37" s="858" t="s">
        <v>2639</v>
      </c>
    </row>
    <row r="46" spans="3:3" ht="15.75" x14ac:dyDescent="0.2">
      <c r="C46" s="858"/>
    </row>
  </sheetData>
  <mergeCells count="10">
    <mergeCell ref="E32:J32"/>
    <mergeCell ref="E5:J5"/>
    <mergeCell ref="E10:J10"/>
    <mergeCell ref="E15:J15"/>
    <mergeCell ref="E29:J29"/>
    <mergeCell ref="N3:S3"/>
    <mergeCell ref="N9:S9"/>
    <mergeCell ref="N14:S14"/>
    <mergeCell ref="E22:J22"/>
    <mergeCell ref="E27:J27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49751-5D0C-46B8-9E0F-C8612CB55C4B}">
  <sheetPr codeName="Sheet18"/>
  <dimension ref="A1:D110"/>
  <sheetViews>
    <sheetView topLeftCell="A14" workbookViewId="0">
      <selection activeCell="C15" sqref="C15"/>
    </sheetView>
  </sheetViews>
  <sheetFormatPr defaultRowHeight="12.75" x14ac:dyDescent="0.2"/>
  <cols>
    <col min="1" max="1" width="9.140625" bestFit="1" customWidth="1"/>
    <col min="2" max="2" width="92" bestFit="1" customWidth="1"/>
    <col min="3" max="3" width="9.140625" bestFit="1" customWidth="1"/>
    <col min="4" max="4" width="92.7109375" bestFit="1" customWidth="1"/>
    <col min="5" max="5" width="7.85546875" bestFit="1" customWidth="1"/>
    <col min="6" max="6" width="70.42578125" bestFit="1" customWidth="1"/>
  </cols>
  <sheetData>
    <row r="1" spans="1:4" ht="40.5" customHeight="1" x14ac:dyDescent="0.2">
      <c r="A1" s="2049" t="s">
        <v>2640</v>
      </c>
      <c r="B1" s="1671"/>
      <c r="C1" s="2049" t="s">
        <v>2641</v>
      </c>
      <c r="D1" s="2049"/>
    </row>
    <row r="2" spans="1:4" ht="13.5" thickBot="1" x14ac:dyDescent="0.25">
      <c r="A2" s="2047" t="s">
        <v>2642</v>
      </c>
      <c r="B2" s="2048"/>
      <c r="C2" s="1812" t="s">
        <v>2642</v>
      </c>
      <c r="D2" s="2004"/>
    </row>
    <row r="3" spans="1:4" x14ac:dyDescent="0.2">
      <c r="A3" s="247" t="s">
        <v>19</v>
      </c>
      <c r="B3" t="s">
        <v>2643</v>
      </c>
      <c r="C3" s="255" t="s">
        <v>25</v>
      </c>
      <c r="D3" s="253" t="s">
        <v>2643</v>
      </c>
    </row>
    <row r="4" spans="1:4" x14ac:dyDescent="0.2">
      <c r="A4" s="248" t="s">
        <v>560</v>
      </c>
      <c r="B4" t="s">
        <v>2644</v>
      </c>
      <c r="C4" s="255" t="s">
        <v>2645</v>
      </c>
      <c r="D4" s="253" t="s">
        <v>2646</v>
      </c>
    </row>
    <row r="5" spans="1:4" x14ac:dyDescent="0.2">
      <c r="A5" s="248" t="s">
        <v>2647</v>
      </c>
      <c r="B5" t="s">
        <v>2648</v>
      </c>
      <c r="C5" s="255" t="s">
        <v>2649</v>
      </c>
      <c r="D5" s="253" t="s">
        <v>2646</v>
      </c>
    </row>
    <row r="6" spans="1:4" x14ac:dyDescent="0.2">
      <c r="A6" s="248" t="s">
        <v>64</v>
      </c>
      <c r="B6" t="s">
        <v>637</v>
      </c>
      <c r="C6" s="255" t="s">
        <v>595</v>
      </c>
      <c r="D6" s="253" t="s">
        <v>2644</v>
      </c>
    </row>
    <row r="7" spans="1:4" x14ac:dyDescent="0.2">
      <c r="A7" s="248" t="s">
        <v>72</v>
      </c>
      <c r="B7" s="185" t="s">
        <v>640</v>
      </c>
      <c r="C7" s="255" t="s">
        <v>59</v>
      </c>
      <c r="D7" s="253" t="s">
        <v>2650</v>
      </c>
    </row>
    <row r="8" spans="1:4" x14ac:dyDescent="0.2">
      <c r="A8" s="248" t="s">
        <v>83</v>
      </c>
      <c r="B8" t="s">
        <v>2651</v>
      </c>
      <c r="C8" s="255" t="s">
        <v>2652</v>
      </c>
      <c r="D8" s="253" t="s">
        <v>2650</v>
      </c>
    </row>
    <row r="9" spans="1:4" x14ac:dyDescent="0.2">
      <c r="A9" s="248" t="s">
        <v>87</v>
      </c>
      <c r="B9" t="s">
        <v>2651</v>
      </c>
      <c r="C9" s="255" t="s">
        <v>69</v>
      </c>
      <c r="D9" s="253" t="s">
        <v>637</v>
      </c>
    </row>
    <row r="10" spans="1:4" x14ac:dyDescent="0.2">
      <c r="A10" s="248" t="s">
        <v>93</v>
      </c>
      <c r="B10" t="s">
        <v>2653</v>
      </c>
      <c r="C10" s="255" t="s">
        <v>76</v>
      </c>
      <c r="D10" s="253" t="s">
        <v>640</v>
      </c>
    </row>
    <row r="11" spans="1:4" x14ac:dyDescent="0.2">
      <c r="A11" s="248" t="s">
        <v>98</v>
      </c>
      <c r="B11" t="s">
        <v>2654</v>
      </c>
      <c r="C11" s="255" t="s">
        <v>79</v>
      </c>
      <c r="D11" s="253" t="s">
        <v>643</v>
      </c>
    </row>
    <row r="12" spans="1:4" x14ac:dyDescent="0.2">
      <c r="A12" s="248" t="s">
        <v>101</v>
      </c>
      <c r="B12" t="s">
        <v>2654</v>
      </c>
      <c r="C12" s="255" t="s">
        <v>89</v>
      </c>
      <c r="D12" s="253" t="s">
        <v>2651</v>
      </c>
    </row>
    <row r="13" spans="1:4" x14ac:dyDescent="0.2">
      <c r="A13" s="248" t="s">
        <v>103</v>
      </c>
      <c r="B13" t="s">
        <v>2654</v>
      </c>
      <c r="C13" s="255" t="s">
        <v>2655</v>
      </c>
      <c r="D13" s="253" t="s">
        <v>2651</v>
      </c>
    </row>
    <row r="14" spans="1:4" x14ac:dyDescent="0.2">
      <c r="A14" s="248" t="s">
        <v>108</v>
      </c>
      <c r="B14" t="s">
        <v>2656</v>
      </c>
      <c r="C14" s="255" t="s">
        <v>96</v>
      </c>
      <c r="D14" s="253" t="s">
        <v>2653</v>
      </c>
    </row>
    <row r="15" spans="1:4" x14ac:dyDescent="0.2">
      <c r="A15" s="248" t="s">
        <v>117</v>
      </c>
      <c r="B15" t="s">
        <v>2657</v>
      </c>
      <c r="C15" s="255" t="s">
        <v>106</v>
      </c>
      <c r="D15" s="253" t="s">
        <v>2654</v>
      </c>
    </row>
    <row r="16" spans="1:4" x14ac:dyDescent="0.2">
      <c r="A16" s="248" t="s">
        <v>124</v>
      </c>
      <c r="B16" t="s">
        <v>644</v>
      </c>
      <c r="C16" s="255" t="s">
        <v>115</v>
      </c>
      <c r="D16" s="253" t="s">
        <v>2656</v>
      </c>
    </row>
    <row r="17" spans="1:4" x14ac:dyDescent="0.2">
      <c r="A17" s="248" t="s">
        <v>131</v>
      </c>
      <c r="B17" s="185" t="s">
        <v>133</v>
      </c>
      <c r="C17" s="255" t="s">
        <v>127</v>
      </c>
      <c r="D17" s="253" t="s">
        <v>644</v>
      </c>
    </row>
    <row r="18" spans="1:4" x14ac:dyDescent="0.2">
      <c r="A18" s="248" t="s">
        <v>146</v>
      </c>
      <c r="B18" s="185" t="s">
        <v>2658</v>
      </c>
      <c r="C18" s="255" t="s">
        <v>2659</v>
      </c>
      <c r="D18" s="253" t="s">
        <v>2660</v>
      </c>
    </row>
    <row r="19" spans="1:4" x14ac:dyDescent="0.2">
      <c r="A19" s="248" t="s">
        <v>152</v>
      </c>
      <c r="B19" s="185" t="s">
        <v>2658</v>
      </c>
      <c r="C19" s="255" t="s">
        <v>439</v>
      </c>
      <c r="D19" s="253" t="s">
        <v>2661</v>
      </c>
    </row>
    <row r="20" spans="1:4" x14ac:dyDescent="0.2">
      <c r="A20" s="248" t="s">
        <v>154</v>
      </c>
      <c r="B20" s="185" t="s">
        <v>156</v>
      </c>
      <c r="C20" s="255" t="s">
        <v>169</v>
      </c>
      <c r="D20" s="253" t="s">
        <v>2662</v>
      </c>
    </row>
    <row r="21" spans="1:4" x14ac:dyDescent="0.2">
      <c r="A21" s="248" t="s">
        <v>157</v>
      </c>
      <c r="B21" t="s">
        <v>159</v>
      </c>
      <c r="C21" s="255" t="s">
        <v>172</v>
      </c>
      <c r="D21" s="253" t="s">
        <v>2663</v>
      </c>
    </row>
    <row r="22" spans="1:4" x14ac:dyDescent="0.2">
      <c r="A22" s="248" t="s">
        <v>161</v>
      </c>
      <c r="B22" t="s">
        <v>159</v>
      </c>
      <c r="C22" s="255" t="s">
        <v>178</v>
      </c>
      <c r="D22" s="253" t="s">
        <v>180</v>
      </c>
    </row>
    <row r="23" spans="1:4" x14ac:dyDescent="0.2">
      <c r="A23" s="248" t="s">
        <v>164</v>
      </c>
      <c r="B23" t="s">
        <v>159</v>
      </c>
      <c r="C23" s="255" t="s">
        <v>181</v>
      </c>
      <c r="D23" s="253" t="s">
        <v>2664</v>
      </c>
    </row>
    <row r="24" spans="1:4" x14ac:dyDescent="0.2">
      <c r="A24" s="248" t="s">
        <v>166</v>
      </c>
      <c r="B24" t="s">
        <v>159</v>
      </c>
      <c r="C24" s="255" t="s">
        <v>198</v>
      </c>
      <c r="D24" s="253" t="s">
        <v>197</v>
      </c>
    </row>
    <row r="25" spans="1:4" x14ac:dyDescent="0.2">
      <c r="A25" s="248" t="s">
        <v>2346</v>
      </c>
      <c r="B25" s="185" t="s">
        <v>2665</v>
      </c>
      <c r="C25" s="255" t="s">
        <v>2666</v>
      </c>
      <c r="D25" s="253" t="s">
        <v>2667</v>
      </c>
    </row>
    <row r="26" spans="1:4" x14ac:dyDescent="0.2">
      <c r="A26" s="250" t="s">
        <v>175</v>
      </c>
      <c r="B26" s="185" t="s">
        <v>2668</v>
      </c>
      <c r="C26" s="255" t="s">
        <v>2669</v>
      </c>
      <c r="D26" s="253" t="s">
        <v>2667</v>
      </c>
    </row>
    <row r="27" spans="1:4" x14ac:dyDescent="0.2">
      <c r="A27" s="250" t="s">
        <v>185</v>
      </c>
      <c r="B27" s="185" t="s">
        <v>2670</v>
      </c>
      <c r="C27" s="255" t="s">
        <v>212</v>
      </c>
      <c r="D27" s="253" t="s">
        <v>2671</v>
      </c>
    </row>
    <row r="28" spans="1:4" x14ac:dyDescent="0.2">
      <c r="A28" s="250" t="s">
        <v>189</v>
      </c>
      <c r="B28" s="185" t="s">
        <v>2670</v>
      </c>
      <c r="C28" s="255" t="s">
        <v>2351</v>
      </c>
      <c r="D28" s="253" t="s">
        <v>2671</v>
      </c>
    </row>
    <row r="29" spans="1:4" x14ac:dyDescent="0.2">
      <c r="A29" s="250" t="s">
        <v>195</v>
      </c>
      <c r="B29" s="185" t="s">
        <v>197</v>
      </c>
      <c r="C29" s="255" t="s">
        <v>222</v>
      </c>
      <c r="D29" s="253" t="s">
        <v>2672</v>
      </c>
    </row>
    <row r="30" spans="1:4" x14ac:dyDescent="0.2">
      <c r="A30" s="250" t="s">
        <v>201</v>
      </c>
      <c r="B30" s="185" t="s">
        <v>2671</v>
      </c>
      <c r="C30" s="255" t="s">
        <v>224</v>
      </c>
      <c r="D30" s="253" t="s">
        <v>2672</v>
      </c>
    </row>
    <row r="31" spans="1:4" x14ac:dyDescent="0.2">
      <c r="A31" s="250" t="s">
        <v>2673</v>
      </c>
      <c r="B31" s="185" t="s">
        <v>2671</v>
      </c>
      <c r="C31" s="255" t="s">
        <v>2356</v>
      </c>
      <c r="D31" s="253" t="s">
        <v>2674</v>
      </c>
    </row>
    <row r="32" spans="1:4" x14ac:dyDescent="0.2">
      <c r="A32" s="250" t="s">
        <v>205</v>
      </c>
      <c r="B32" s="185" t="s">
        <v>2671</v>
      </c>
      <c r="C32" s="255" t="s">
        <v>251</v>
      </c>
      <c r="D32" s="253" t="s">
        <v>2675</v>
      </c>
    </row>
    <row r="33" spans="1:4" x14ac:dyDescent="0.2">
      <c r="A33" s="250" t="s">
        <v>208</v>
      </c>
      <c r="B33" s="185" t="s">
        <v>2671</v>
      </c>
      <c r="C33" s="255" t="s">
        <v>254</v>
      </c>
      <c r="D33" s="253" t="s">
        <v>2675</v>
      </c>
    </row>
    <row r="34" spans="1:4" x14ac:dyDescent="0.2">
      <c r="A34" s="250" t="s">
        <v>210</v>
      </c>
      <c r="B34" s="185" t="s">
        <v>2671</v>
      </c>
      <c r="C34" s="255" t="s">
        <v>259</v>
      </c>
      <c r="D34" s="253" t="s">
        <v>2675</v>
      </c>
    </row>
    <row r="35" spans="1:4" x14ac:dyDescent="0.2">
      <c r="A35" s="250" t="s">
        <v>216</v>
      </c>
      <c r="B35" s="185" t="s">
        <v>2672</v>
      </c>
      <c r="C35" s="255" t="s">
        <v>267</v>
      </c>
      <c r="D35" s="253" t="s">
        <v>2675</v>
      </c>
    </row>
    <row r="36" spans="1:4" x14ac:dyDescent="0.2">
      <c r="A36" s="250" t="s">
        <v>219</v>
      </c>
      <c r="B36" s="185" t="s">
        <v>2672</v>
      </c>
      <c r="C36" s="255" t="s">
        <v>2676</v>
      </c>
      <c r="D36" s="253" t="s">
        <v>2675</v>
      </c>
    </row>
    <row r="37" spans="1:4" x14ac:dyDescent="0.2">
      <c r="A37" s="250" t="s">
        <v>227</v>
      </c>
      <c r="B37" s="185" t="s">
        <v>2674</v>
      </c>
      <c r="C37" s="255" t="s">
        <v>256</v>
      </c>
      <c r="D37" s="253" t="s">
        <v>2675</v>
      </c>
    </row>
    <row r="38" spans="1:4" x14ac:dyDescent="0.2">
      <c r="A38" s="250" t="s">
        <v>233</v>
      </c>
      <c r="B38" s="185" t="s">
        <v>2677</v>
      </c>
      <c r="C38" s="255" t="s">
        <v>2678</v>
      </c>
      <c r="D38" s="253" t="s">
        <v>2679</v>
      </c>
    </row>
    <row r="39" spans="1:4" x14ac:dyDescent="0.2">
      <c r="A39" s="250" t="s">
        <v>237</v>
      </c>
      <c r="B39" s="185" t="s">
        <v>2677</v>
      </c>
      <c r="C39" s="255" t="s">
        <v>326</v>
      </c>
      <c r="D39" s="253" t="s">
        <v>650</v>
      </c>
    </row>
    <row r="40" spans="1:4" x14ac:dyDescent="0.2">
      <c r="A40" s="250" t="s">
        <v>240</v>
      </c>
      <c r="B40" s="185" t="s">
        <v>2675</v>
      </c>
      <c r="C40" s="255" t="s">
        <v>2680</v>
      </c>
      <c r="D40" s="253" t="s">
        <v>330</v>
      </c>
    </row>
    <row r="41" spans="1:4" x14ac:dyDescent="0.2">
      <c r="A41" s="250" t="s">
        <v>244</v>
      </c>
      <c r="B41" s="185" t="s">
        <v>2675</v>
      </c>
      <c r="C41" s="255" t="s">
        <v>341</v>
      </c>
      <c r="D41" s="253" t="s">
        <v>2681</v>
      </c>
    </row>
    <row r="42" spans="1:4" x14ac:dyDescent="0.2">
      <c r="A42" s="250" t="s">
        <v>263</v>
      </c>
      <c r="B42" s="185" t="s">
        <v>2675</v>
      </c>
      <c r="C42" s="255" t="s">
        <v>346</v>
      </c>
      <c r="D42" s="253" t="s">
        <v>2682</v>
      </c>
    </row>
    <row r="43" spans="1:4" x14ac:dyDescent="0.2">
      <c r="A43" s="250" t="s">
        <v>246</v>
      </c>
      <c r="B43" s="185" t="s">
        <v>2675</v>
      </c>
      <c r="C43" s="255" t="s">
        <v>2683</v>
      </c>
      <c r="D43" s="253" t="s">
        <v>2684</v>
      </c>
    </row>
    <row r="44" spans="1:4" x14ac:dyDescent="0.2">
      <c r="A44" s="250" t="s">
        <v>265</v>
      </c>
      <c r="B44" s="185" t="s">
        <v>2675</v>
      </c>
      <c r="C44" s="255" t="s">
        <v>2685</v>
      </c>
      <c r="D44" s="253" t="s">
        <v>2684</v>
      </c>
    </row>
    <row r="45" spans="1:4" x14ac:dyDescent="0.2">
      <c r="A45" s="250" t="s">
        <v>249</v>
      </c>
      <c r="B45" s="185" t="s">
        <v>2675</v>
      </c>
      <c r="C45" s="255" t="s">
        <v>348</v>
      </c>
      <c r="D45" s="253" t="s">
        <v>2684</v>
      </c>
    </row>
    <row r="46" spans="1:4" x14ac:dyDescent="0.2">
      <c r="A46" s="250" t="s">
        <v>2686</v>
      </c>
      <c r="B46" s="185" t="s">
        <v>2679</v>
      </c>
      <c r="C46" s="255" t="s">
        <v>352</v>
      </c>
      <c r="D46" s="253" t="s">
        <v>2684</v>
      </c>
    </row>
    <row r="47" spans="1:4" x14ac:dyDescent="0.2">
      <c r="A47" s="250" t="s">
        <v>2687</v>
      </c>
      <c r="B47" s="185" t="s">
        <v>2679</v>
      </c>
      <c r="C47" s="255" t="s">
        <v>358</v>
      </c>
      <c r="D47" s="253" t="s">
        <v>2688</v>
      </c>
    </row>
    <row r="48" spans="1:4" x14ac:dyDescent="0.2">
      <c r="A48" s="250" t="s">
        <v>2689</v>
      </c>
      <c r="B48" s="185" t="s">
        <v>2679</v>
      </c>
      <c r="C48" s="255" t="s">
        <v>368</v>
      </c>
      <c r="D48" s="253" t="s">
        <v>2690</v>
      </c>
    </row>
    <row r="49" spans="1:4" x14ac:dyDescent="0.2">
      <c r="A49" s="250" t="s">
        <v>312</v>
      </c>
      <c r="B49" s="185" t="s">
        <v>2691</v>
      </c>
      <c r="C49" s="255" t="s">
        <v>370</v>
      </c>
      <c r="D49" s="253" t="s">
        <v>2692</v>
      </c>
    </row>
    <row r="50" spans="1:4" x14ac:dyDescent="0.2">
      <c r="A50" s="250" t="s">
        <v>2693</v>
      </c>
      <c r="B50" s="185" t="s">
        <v>2694</v>
      </c>
      <c r="C50" s="255" t="s">
        <v>380</v>
      </c>
      <c r="D50" s="253" t="s">
        <v>2695</v>
      </c>
    </row>
    <row r="51" spans="1:4" x14ac:dyDescent="0.2">
      <c r="A51" s="250" t="s">
        <v>2696</v>
      </c>
      <c r="B51" s="185" t="s">
        <v>2694</v>
      </c>
      <c r="C51" s="255" t="s">
        <v>382</v>
      </c>
      <c r="D51" s="253" t="s">
        <v>2695</v>
      </c>
    </row>
    <row r="52" spans="1:4" x14ac:dyDescent="0.2">
      <c r="A52" s="250" t="s">
        <v>320</v>
      </c>
      <c r="B52" s="185" t="s">
        <v>650</v>
      </c>
      <c r="C52" s="255" t="s">
        <v>390</v>
      </c>
      <c r="D52" s="253" t="s">
        <v>2697</v>
      </c>
    </row>
    <row r="53" spans="1:4" x14ac:dyDescent="0.2">
      <c r="A53" s="250" t="s">
        <v>323</v>
      </c>
      <c r="B53" s="185" t="s">
        <v>650</v>
      </c>
      <c r="C53" s="1812" t="s">
        <v>2698</v>
      </c>
      <c r="D53" s="2004"/>
    </row>
    <row r="54" spans="1:4" x14ac:dyDescent="0.2">
      <c r="A54" s="250" t="s">
        <v>328</v>
      </c>
      <c r="B54" s="185" t="s">
        <v>330</v>
      </c>
      <c r="C54" s="257" t="s">
        <v>407</v>
      </c>
      <c r="D54" s="258" t="s">
        <v>2699</v>
      </c>
    </row>
    <row r="55" spans="1:4" x14ac:dyDescent="0.2">
      <c r="A55" s="250" t="s">
        <v>338</v>
      </c>
      <c r="B55" s="185" t="s">
        <v>2681</v>
      </c>
      <c r="C55" s="257" t="s">
        <v>2407</v>
      </c>
      <c r="D55" s="258" t="s">
        <v>2700</v>
      </c>
    </row>
    <row r="56" spans="1:4" x14ac:dyDescent="0.2">
      <c r="A56" s="250" t="s">
        <v>343</v>
      </c>
      <c r="B56" s="185" t="s">
        <v>2682</v>
      </c>
      <c r="C56" s="257" t="s">
        <v>2411</v>
      </c>
      <c r="D56" s="258" t="s">
        <v>2701</v>
      </c>
    </row>
    <row r="57" spans="1:4" x14ac:dyDescent="0.2">
      <c r="A57" s="250" t="s">
        <v>354</v>
      </c>
      <c r="B57" s="185" t="s">
        <v>2688</v>
      </c>
      <c r="C57" s="257" t="s">
        <v>2421</v>
      </c>
      <c r="D57" s="253" t="s">
        <v>2702</v>
      </c>
    </row>
    <row r="58" spans="1:4" x14ac:dyDescent="0.2">
      <c r="A58" s="250" t="s">
        <v>359</v>
      </c>
      <c r="B58" s="185" t="s">
        <v>2703</v>
      </c>
      <c r="C58" s="257" t="s">
        <v>2426</v>
      </c>
      <c r="D58" s="253" t="s">
        <v>2704</v>
      </c>
    </row>
    <row r="59" spans="1:4" x14ac:dyDescent="0.2">
      <c r="A59" s="250" t="s">
        <v>364</v>
      </c>
      <c r="B59" s="185" t="s">
        <v>2703</v>
      </c>
      <c r="C59" s="257" t="s">
        <v>2433</v>
      </c>
      <c r="D59" s="253" t="s">
        <v>2705</v>
      </c>
    </row>
    <row r="60" spans="1:4" x14ac:dyDescent="0.2">
      <c r="A60" s="250" t="s">
        <v>366</v>
      </c>
      <c r="B60" s="185" t="s">
        <v>2703</v>
      </c>
      <c r="C60" s="257" t="s">
        <v>2441</v>
      </c>
      <c r="D60" s="253" t="s">
        <v>2706</v>
      </c>
    </row>
    <row r="61" spans="1:4" x14ac:dyDescent="0.2">
      <c r="A61" s="250" t="s">
        <v>372</v>
      </c>
      <c r="B61" s="185" t="s">
        <v>2707</v>
      </c>
      <c r="C61" s="257" t="s">
        <v>2445</v>
      </c>
      <c r="D61" s="253" t="s">
        <v>2708</v>
      </c>
    </row>
    <row r="62" spans="1:4" x14ac:dyDescent="0.2">
      <c r="A62" s="250" t="s">
        <v>375</v>
      </c>
      <c r="B62" s="185" t="s">
        <v>2695</v>
      </c>
      <c r="C62" s="257" t="s">
        <v>2451</v>
      </c>
      <c r="D62" s="253" t="s">
        <v>2447</v>
      </c>
    </row>
    <row r="63" spans="1:4" x14ac:dyDescent="0.2">
      <c r="A63" s="250" t="s">
        <v>378</v>
      </c>
      <c r="B63" s="185" t="s">
        <v>2695</v>
      </c>
      <c r="C63" s="257" t="s">
        <v>2452</v>
      </c>
      <c r="D63" s="253" t="s">
        <v>2447</v>
      </c>
    </row>
    <row r="64" spans="1:4" x14ac:dyDescent="0.2">
      <c r="A64" s="250" t="s">
        <v>384</v>
      </c>
      <c r="B64" s="185" t="s">
        <v>2697</v>
      </c>
      <c r="C64" s="257" t="s">
        <v>2457</v>
      </c>
      <c r="D64" s="253" t="s">
        <v>2709</v>
      </c>
    </row>
    <row r="65" spans="1:4" x14ac:dyDescent="0.2">
      <c r="A65" s="250" t="s">
        <v>387</v>
      </c>
      <c r="B65" s="185" t="s">
        <v>2697</v>
      </c>
      <c r="C65" s="255" t="s">
        <v>2465</v>
      </c>
      <c r="D65" s="253" t="s">
        <v>2463</v>
      </c>
    </row>
    <row r="66" spans="1:4" x14ac:dyDescent="0.2">
      <c r="A66" s="250" t="s">
        <v>396</v>
      </c>
      <c r="B66" s="185" t="s">
        <v>648</v>
      </c>
      <c r="C66" s="255" t="s">
        <v>2471</v>
      </c>
      <c r="D66" s="253" t="s">
        <v>2469</v>
      </c>
    </row>
    <row r="67" spans="1:4" x14ac:dyDescent="0.2">
      <c r="A67" s="1812" t="s">
        <v>2698</v>
      </c>
      <c r="B67" s="2046"/>
      <c r="C67" s="255" t="s">
        <v>390</v>
      </c>
      <c r="D67" s="253" t="s">
        <v>2710</v>
      </c>
    </row>
    <row r="68" spans="1:4" x14ac:dyDescent="0.2">
      <c r="A68" s="248" t="s">
        <v>2415</v>
      </c>
      <c r="B68" s="185" t="s">
        <v>2702</v>
      </c>
      <c r="C68" s="255" t="s">
        <v>2481</v>
      </c>
      <c r="D68" s="253" t="s">
        <v>2711</v>
      </c>
    </row>
    <row r="69" spans="1:4" x14ac:dyDescent="0.2">
      <c r="A69" s="248" t="s">
        <v>2419</v>
      </c>
      <c r="B69" s="185" t="s">
        <v>2702</v>
      </c>
      <c r="C69" s="255" t="s">
        <v>2486</v>
      </c>
      <c r="D69" s="253" t="s">
        <v>2712</v>
      </c>
    </row>
    <row r="70" spans="1:4" x14ac:dyDescent="0.2">
      <c r="A70" s="248" t="s">
        <v>2422</v>
      </c>
      <c r="B70" s="185" t="s">
        <v>2704</v>
      </c>
      <c r="C70" s="255" t="s">
        <v>2491</v>
      </c>
      <c r="D70" s="253" t="s">
        <v>2489</v>
      </c>
    </row>
    <row r="71" spans="1:4" x14ac:dyDescent="0.2">
      <c r="A71" s="248" t="s">
        <v>2428</v>
      </c>
      <c r="B71" s="185" t="s">
        <v>2705</v>
      </c>
      <c r="C71" s="255" t="s">
        <v>2493</v>
      </c>
      <c r="D71" s="253" t="s">
        <v>2713</v>
      </c>
    </row>
    <row r="72" spans="1:4" x14ac:dyDescent="0.2">
      <c r="A72" s="248" t="s">
        <v>2431</v>
      </c>
      <c r="B72" s="185" t="s">
        <v>2705</v>
      </c>
      <c r="C72" s="1812" t="s">
        <v>2714</v>
      </c>
      <c r="D72" s="2004"/>
    </row>
    <row r="73" spans="1:4" x14ac:dyDescent="0.2">
      <c r="A73" s="248" t="s">
        <v>2434</v>
      </c>
      <c r="B73" s="185" t="s">
        <v>2706</v>
      </c>
      <c r="C73" s="257" t="s">
        <v>2537</v>
      </c>
      <c r="D73" t="s">
        <v>2535</v>
      </c>
    </row>
    <row r="74" spans="1:4" x14ac:dyDescent="0.2">
      <c r="A74" s="248" t="s">
        <v>2438</v>
      </c>
      <c r="B74" s="185" t="s">
        <v>2706</v>
      </c>
      <c r="C74" s="257" t="s">
        <v>2545</v>
      </c>
      <c r="D74" s="253" t="s">
        <v>2715</v>
      </c>
    </row>
    <row r="75" spans="1:4" x14ac:dyDescent="0.2">
      <c r="A75" s="248" t="s">
        <v>2442</v>
      </c>
      <c r="B75" s="185" t="s">
        <v>2716</v>
      </c>
      <c r="C75" s="257" t="s">
        <v>2551</v>
      </c>
      <c r="D75" s="253" t="s">
        <v>2717</v>
      </c>
    </row>
    <row r="76" spans="1:4" x14ac:dyDescent="0.2">
      <c r="A76" s="248" t="s">
        <v>2446</v>
      </c>
      <c r="B76" s="185" t="s">
        <v>2447</v>
      </c>
      <c r="C76" s="257" t="s">
        <v>2565</v>
      </c>
      <c r="D76" s="253" t="s">
        <v>2718</v>
      </c>
    </row>
    <row r="77" spans="1:4" x14ac:dyDescent="0.2">
      <c r="A77" s="248" t="s">
        <v>2449</v>
      </c>
      <c r="B77" s="185" t="s">
        <v>2447</v>
      </c>
      <c r="C77" s="257" t="s">
        <v>2585</v>
      </c>
      <c r="D77" s="253" t="s">
        <v>2719</v>
      </c>
    </row>
    <row r="78" spans="1:4" x14ac:dyDescent="0.2">
      <c r="A78" s="249" t="s">
        <v>2453</v>
      </c>
      <c r="B78" t="s">
        <v>2455</v>
      </c>
      <c r="C78" s="257" t="s">
        <v>2591</v>
      </c>
      <c r="D78" t="s">
        <v>2720</v>
      </c>
    </row>
    <row r="79" spans="1:4" x14ac:dyDescent="0.2">
      <c r="A79" s="250" t="s">
        <v>2461</v>
      </c>
      <c r="B79" t="s">
        <v>2463</v>
      </c>
      <c r="C79" s="257" t="s">
        <v>2606</v>
      </c>
      <c r="D79" s="253" t="s">
        <v>2605</v>
      </c>
    </row>
    <row r="80" spans="1:4" x14ac:dyDescent="0.2">
      <c r="A80" s="250" t="s">
        <v>2467</v>
      </c>
      <c r="B80" t="s">
        <v>2469</v>
      </c>
      <c r="C80" s="255"/>
      <c r="D80" s="253"/>
    </row>
    <row r="81" spans="1:4" x14ac:dyDescent="0.2">
      <c r="A81" s="250" t="s">
        <v>2477</v>
      </c>
      <c r="B81" s="185" t="s">
        <v>2711</v>
      </c>
      <c r="C81" s="255"/>
      <c r="D81" s="253"/>
    </row>
    <row r="82" spans="1:4" x14ac:dyDescent="0.2">
      <c r="A82" s="250" t="s">
        <v>2482</v>
      </c>
      <c r="B82" s="185" t="s">
        <v>2712</v>
      </c>
      <c r="C82" s="255"/>
      <c r="D82" s="253"/>
    </row>
    <row r="83" spans="1:4" x14ac:dyDescent="0.2">
      <c r="A83" s="250" t="s">
        <v>2487</v>
      </c>
      <c r="B83" t="s">
        <v>2489</v>
      </c>
      <c r="C83" s="255"/>
      <c r="D83" s="253"/>
    </row>
    <row r="84" spans="1:4" x14ac:dyDescent="0.2">
      <c r="A84" s="249" t="s">
        <v>2497</v>
      </c>
      <c r="B84" s="185" t="s">
        <v>2721</v>
      </c>
      <c r="C84" s="255"/>
      <c r="D84" s="253"/>
    </row>
    <row r="85" spans="1:4" x14ac:dyDescent="0.2">
      <c r="A85" s="250" t="s">
        <v>2501</v>
      </c>
      <c r="B85" s="185" t="s">
        <v>2722</v>
      </c>
      <c r="C85" s="255"/>
      <c r="D85" s="253"/>
    </row>
    <row r="86" spans="1:4" x14ac:dyDescent="0.2">
      <c r="A86" s="250" t="s">
        <v>2504</v>
      </c>
      <c r="B86" t="s">
        <v>2506</v>
      </c>
      <c r="C86" s="255"/>
      <c r="D86" s="253"/>
    </row>
    <row r="87" spans="1:4" x14ac:dyDescent="0.2">
      <c r="A87" s="250" t="s">
        <v>2508</v>
      </c>
      <c r="B87" t="s">
        <v>2506</v>
      </c>
      <c r="C87" s="255"/>
      <c r="D87" s="253"/>
    </row>
    <row r="88" spans="1:4" x14ac:dyDescent="0.2">
      <c r="A88" s="249" t="s">
        <v>2510</v>
      </c>
      <c r="B88" t="s">
        <v>2511</v>
      </c>
      <c r="C88" s="255"/>
      <c r="D88" s="253"/>
    </row>
    <row r="89" spans="1:4" x14ac:dyDescent="0.2">
      <c r="A89" s="250" t="s">
        <v>2512</v>
      </c>
      <c r="B89" s="185" t="s">
        <v>2723</v>
      </c>
      <c r="C89" s="255"/>
      <c r="D89" s="253"/>
    </row>
    <row r="90" spans="1:4" x14ac:dyDescent="0.2">
      <c r="A90" s="250" t="s">
        <v>2516</v>
      </c>
      <c r="B90" s="185" t="s">
        <v>2723</v>
      </c>
      <c r="C90" s="255"/>
      <c r="D90" s="253"/>
    </row>
    <row r="91" spans="1:4" x14ac:dyDescent="0.2">
      <c r="A91" s="250" t="s">
        <v>2518</v>
      </c>
      <c r="B91" t="s">
        <v>2520</v>
      </c>
      <c r="C91" s="255"/>
      <c r="D91" s="253"/>
    </row>
    <row r="92" spans="1:4" x14ac:dyDescent="0.2">
      <c r="A92" s="250" t="s">
        <v>2522</v>
      </c>
      <c r="B92" t="s">
        <v>2524</v>
      </c>
      <c r="C92" s="255"/>
      <c r="D92" s="253"/>
    </row>
    <row r="93" spans="1:4" x14ac:dyDescent="0.2">
      <c r="A93" s="250" t="s">
        <v>2526</v>
      </c>
      <c r="B93" t="s">
        <v>2524</v>
      </c>
      <c r="C93" s="255"/>
      <c r="D93" s="253"/>
    </row>
    <row r="94" spans="1:4" x14ac:dyDescent="0.2">
      <c r="A94" s="1812" t="s">
        <v>2714</v>
      </c>
      <c r="B94" s="2046"/>
      <c r="C94" s="255"/>
      <c r="D94" s="253"/>
    </row>
    <row r="95" spans="1:4" x14ac:dyDescent="0.2">
      <c r="A95" s="248" t="s">
        <v>2533</v>
      </c>
      <c r="B95" t="s">
        <v>2535</v>
      </c>
      <c r="C95" s="255"/>
      <c r="D95" s="253"/>
    </row>
    <row r="96" spans="1:4" x14ac:dyDescent="0.2">
      <c r="A96" s="248" t="s">
        <v>2540</v>
      </c>
      <c r="B96" s="185" t="s">
        <v>2715</v>
      </c>
      <c r="C96" s="255"/>
      <c r="D96" s="253"/>
    </row>
    <row r="97" spans="1:4" x14ac:dyDescent="0.2">
      <c r="A97" s="248" t="s">
        <v>2547</v>
      </c>
      <c r="B97" s="185" t="s">
        <v>2717</v>
      </c>
      <c r="C97" s="255"/>
      <c r="D97" s="253"/>
    </row>
    <row r="98" spans="1:4" x14ac:dyDescent="0.2">
      <c r="A98" s="248" t="s">
        <v>2552</v>
      </c>
      <c r="B98" s="185" t="s">
        <v>2724</v>
      </c>
      <c r="C98" s="255"/>
      <c r="D98" s="253"/>
    </row>
    <row r="99" spans="1:4" x14ac:dyDescent="0.2">
      <c r="A99" s="248" t="s">
        <v>2556</v>
      </c>
      <c r="B99" t="s">
        <v>2558</v>
      </c>
      <c r="C99" s="255"/>
      <c r="D99" s="253"/>
    </row>
    <row r="100" spans="1:4" x14ac:dyDescent="0.2">
      <c r="A100" s="248" t="s">
        <v>2560</v>
      </c>
      <c r="B100" s="185" t="s">
        <v>2718</v>
      </c>
      <c r="C100" s="255"/>
      <c r="D100" s="253"/>
    </row>
    <row r="101" spans="1:4" x14ac:dyDescent="0.2">
      <c r="A101" s="248" t="s">
        <v>2568</v>
      </c>
      <c r="B101" t="s">
        <v>2725</v>
      </c>
      <c r="C101" s="255"/>
      <c r="D101" s="253"/>
    </row>
    <row r="102" spans="1:4" x14ac:dyDescent="0.2">
      <c r="A102" s="248" t="s">
        <v>2571</v>
      </c>
      <c r="B102" s="185" t="s">
        <v>2726</v>
      </c>
      <c r="C102" s="255"/>
      <c r="D102" s="253"/>
    </row>
    <row r="103" spans="1:4" x14ac:dyDescent="0.2">
      <c r="A103" s="248" t="s">
        <v>2727</v>
      </c>
      <c r="B103" t="s">
        <v>2728</v>
      </c>
      <c r="C103" s="255"/>
      <c r="D103" s="253"/>
    </row>
    <row r="104" spans="1:4" x14ac:dyDescent="0.2">
      <c r="A104" s="248" t="s">
        <v>117</v>
      </c>
      <c r="B104" t="s">
        <v>2657</v>
      </c>
      <c r="C104" s="255"/>
      <c r="D104" s="253"/>
    </row>
    <row r="105" spans="1:4" x14ac:dyDescent="0.2">
      <c r="A105" s="248" t="s">
        <v>2580</v>
      </c>
      <c r="B105" s="185" t="s">
        <v>2719</v>
      </c>
      <c r="C105" s="255"/>
      <c r="D105" s="253"/>
    </row>
    <row r="106" spans="1:4" x14ac:dyDescent="0.2">
      <c r="A106" s="248" t="s">
        <v>2587</v>
      </c>
      <c r="B106" t="s">
        <v>2720</v>
      </c>
      <c r="C106" s="255"/>
      <c r="D106" s="253"/>
    </row>
    <row r="107" spans="1:4" x14ac:dyDescent="0.2">
      <c r="A107" s="248" t="s">
        <v>2407</v>
      </c>
      <c r="B107" t="s">
        <v>2700</v>
      </c>
      <c r="C107" s="255"/>
      <c r="D107" s="253"/>
    </row>
    <row r="108" spans="1:4" x14ac:dyDescent="0.2">
      <c r="A108" s="248" t="s">
        <v>2595</v>
      </c>
      <c r="B108" t="s">
        <v>2729</v>
      </c>
      <c r="C108" s="255"/>
      <c r="D108" s="253"/>
    </row>
    <row r="109" spans="1:4" x14ac:dyDescent="0.2">
      <c r="A109" s="248" t="s">
        <v>2599</v>
      </c>
      <c r="B109" t="s">
        <v>2558</v>
      </c>
      <c r="C109" s="255"/>
      <c r="D109" s="253"/>
    </row>
    <row r="110" spans="1:4" ht="13.5" thickBot="1" x14ac:dyDescent="0.25">
      <c r="A110" s="251" t="s">
        <v>2603</v>
      </c>
      <c r="B110" s="259" t="s">
        <v>2605</v>
      </c>
      <c r="C110" s="256"/>
      <c r="D110" s="254"/>
    </row>
  </sheetData>
  <mergeCells count="8">
    <mergeCell ref="A94:B94"/>
    <mergeCell ref="A2:B2"/>
    <mergeCell ref="C1:D1"/>
    <mergeCell ref="A1:B1"/>
    <mergeCell ref="C2:D2"/>
    <mergeCell ref="A67:B67"/>
    <mergeCell ref="C53:D53"/>
    <mergeCell ref="C72:D7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E4249-A701-44ED-BDB8-E35880EF025F}">
  <sheetPr codeName="Sheet19">
    <pageSetUpPr fitToPage="1"/>
  </sheetPr>
  <dimension ref="A1:Q11"/>
  <sheetViews>
    <sheetView workbookViewId="0">
      <selection activeCell="D4" sqref="D4"/>
    </sheetView>
  </sheetViews>
  <sheetFormatPr defaultRowHeight="12.75" x14ac:dyDescent="0.2"/>
  <cols>
    <col min="1" max="1" width="20" customWidth="1"/>
    <col min="2" max="3" width="21.140625" customWidth="1"/>
    <col min="4" max="4" width="16.28515625" customWidth="1"/>
    <col min="5" max="5" width="18.28515625" customWidth="1"/>
    <col min="6" max="6" width="10.140625" bestFit="1" customWidth="1"/>
    <col min="7" max="7" width="14.42578125" bestFit="1" customWidth="1"/>
    <col min="8" max="8" width="55.85546875" customWidth="1"/>
    <col min="17" max="17" width="12" bestFit="1" customWidth="1"/>
  </cols>
  <sheetData>
    <row r="1" spans="1:17" ht="20.25" x14ac:dyDescent="0.3">
      <c r="A1" s="2050" t="s">
        <v>2730</v>
      </c>
      <c r="B1" s="2051"/>
      <c r="C1" s="2051"/>
      <c r="D1" s="2051"/>
      <c r="E1" s="2051"/>
      <c r="F1" s="2051"/>
      <c r="G1" s="2051"/>
      <c r="H1" s="2051"/>
      <c r="I1" s="2052"/>
    </row>
    <row r="2" spans="1:17" ht="23.25" customHeight="1" x14ac:dyDescent="0.2">
      <c r="A2" s="1103" t="s">
        <v>1970</v>
      </c>
      <c r="B2" s="1104" t="s">
        <v>1972</v>
      </c>
      <c r="C2" s="1104" t="s">
        <v>503</v>
      </c>
      <c r="D2" s="1103" t="s">
        <v>2731</v>
      </c>
      <c r="E2" s="1103" t="s">
        <v>2732</v>
      </c>
      <c r="F2" s="1105" t="s">
        <v>2733</v>
      </c>
      <c r="G2" s="1106" t="s">
        <v>8</v>
      </c>
      <c r="H2" s="1091" t="s">
        <v>634</v>
      </c>
      <c r="I2" s="1107" t="s">
        <v>1976</v>
      </c>
    </row>
    <row r="3" spans="1:17" x14ac:dyDescent="0.2">
      <c r="A3" s="276" t="s">
        <v>2734</v>
      </c>
      <c r="B3" s="252" t="s">
        <v>2735</v>
      </c>
      <c r="C3" s="1099" t="s">
        <v>2736</v>
      </c>
      <c r="D3" s="252" t="s">
        <v>2737</v>
      </c>
      <c r="E3" s="252" t="s">
        <v>2738</v>
      </c>
      <c r="F3" s="316"/>
      <c r="G3" s="317" t="s">
        <v>682</v>
      </c>
      <c r="H3" s="1093" t="s">
        <v>2739</v>
      </c>
      <c r="I3" s="1102" t="s">
        <v>2740</v>
      </c>
    </row>
    <row r="4" spans="1:17" x14ac:dyDescent="0.2">
      <c r="A4" s="287" t="s">
        <v>2734</v>
      </c>
      <c r="B4" s="1097" t="s">
        <v>2735</v>
      </c>
      <c r="C4" s="1096" t="s">
        <v>2736</v>
      </c>
      <c r="D4" s="1098" t="s">
        <v>2737</v>
      </c>
      <c r="E4" s="246" t="s">
        <v>2741</v>
      </c>
      <c r="F4" s="194"/>
      <c r="G4" s="317" t="s">
        <v>682</v>
      </c>
      <c r="H4" s="1093" t="s">
        <v>2739</v>
      </c>
      <c r="I4" s="963" t="s">
        <v>2740</v>
      </c>
    </row>
    <row r="5" spans="1:17" x14ac:dyDescent="0.2">
      <c r="A5" s="252" t="s">
        <v>2734</v>
      </c>
      <c r="B5" s="252" t="s">
        <v>2735</v>
      </c>
      <c r="C5" s="1100" t="s">
        <v>2736</v>
      </c>
      <c r="D5" s="252" t="s">
        <v>2737</v>
      </c>
      <c r="E5" s="246" t="s">
        <v>2742</v>
      </c>
      <c r="F5" s="194"/>
      <c r="G5" s="317" t="s">
        <v>682</v>
      </c>
      <c r="H5" s="1093" t="s">
        <v>2739</v>
      </c>
      <c r="I5" s="963" t="s">
        <v>2740</v>
      </c>
      <c r="Q5" s="300" t="s">
        <v>682</v>
      </c>
    </row>
    <row r="6" spans="1:17" x14ac:dyDescent="0.2">
      <c r="A6" s="246" t="s">
        <v>2743</v>
      </c>
      <c r="B6" s="246" t="s">
        <v>2735</v>
      </c>
      <c r="C6" s="246" t="s">
        <v>2744</v>
      </c>
      <c r="D6" s="246" t="s">
        <v>2745</v>
      </c>
      <c r="E6" s="246" t="s">
        <v>2746</v>
      </c>
      <c r="F6" s="194"/>
      <c r="G6" s="317" t="s">
        <v>682</v>
      </c>
      <c r="H6" s="1093" t="s">
        <v>2739</v>
      </c>
      <c r="I6" s="963" t="s">
        <v>2740</v>
      </c>
      <c r="Q6" s="302" t="s">
        <v>688</v>
      </c>
    </row>
    <row r="7" spans="1:17" x14ac:dyDescent="0.2">
      <c r="A7" s="246" t="s">
        <v>2747</v>
      </c>
      <c r="B7" s="246" t="s">
        <v>2748</v>
      </c>
      <c r="C7" s="246"/>
      <c r="D7" s="246"/>
      <c r="E7" s="246" t="s">
        <v>2749</v>
      </c>
      <c r="F7" s="194"/>
      <c r="G7" s="317" t="s">
        <v>682</v>
      </c>
      <c r="H7" s="1094" t="s">
        <v>2750</v>
      </c>
      <c r="I7" s="963"/>
      <c r="Q7" s="302"/>
    </row>
    <row r="8" spans="1:17" ht="15" x14ac:dyDescent="0.25">
      <c r="A8" s="695" t="s">
        <v>2751</v>
      </c>
      <c r="B8" s="695" t="s">
        <v>2735</v>
      </c>
      <c r="C8" s="695" t="s">
        <v>2752</v>
      </c>
      <c r="D8" s="695" t="s">
        <v>2753</v>
      </c>
      <c r="E8" s="695" t="s">
        <v>2754</v>
      </c>
      <c r="F8" s="696"/>
      <c r="G8" s="477" t="s">
        <v>682</v>
      </c>
      <c r="H8" s="1095" t="s">
        <v>2755</v>
      </c>
      <c r="I8" s="1101"/>
      <c r="Q8" s="301" t="s">
        <v>1952</v>
      </c>
    </row>
    <row r="9" spans="1:17" x14ac:dyDescent="0.2">
      <c r="A9" s="30"/>
      <c r="B9" s="263" t="s">
        <v>2756</v>
      </c>
      <c r="C9" s="30"/>
      <c r="D9" s="30"/>
      <c r="E9" s="30"/>
      <c r="F9" s="30"/>
      <c r="G9" s="30"/>
      <c r="H9" s="103"/>
      <c r="I9" s="963"/>
      <c r="Q9" s="2"/>
    </row>
    <row r="10" spans="1:17" x14ac:dyDescent="0.2">
      <c r="A10" s="263" t="s">
        <v>2757</v>
      </c>
      <c r="B10" s="263" t="s">
        <v>2758</v>
      </c>
      <c r="C10" s="30"/>
      <c r="D10" s="30">
        <v>58472</v>
      </c>
      <c r="E10" s="30">
        <v>7190360</v>
      </c>
      <c r="F10" s="318"/>
      <c r="G10" s="307"/>
      <c r="H10" s="1092" t="s">
        <v>2759</v>
      </c>
      <c r="I10" s="963"/>
      <c r="Q10" s="2"/>
    </row>
    <row r="11" spans="1:17" ht="27" customHeight="1" x14ac:dyDescent="0.2">
      <c r="A11" s="1108" t="s">
        <v>2760</v>
      </c>
      <c r="B11" s="1108" t="s">
        <v>2735</v>
      </c>
      <c r="C11" s="1109"/>
      <c r="D11" s="1109"/>
      <c r="E11" s="1109"/>
      <c r="F11" s="1109"/>
      <c r="G11" s="1110" t="s">
        <v>688</v>
      </c>
      <c r="H11" s="1111" t="s">
        <v>2761</v>
      </c>
      <c r="I11" s="1112" t="s">
        <v>2740</v>
      </c>
      <c r="Q11" s="2"/>
    </row>
  </sheetData>
  <mergeCells count="1">
    <mergeCell ref="A1:I1"/>
  </mergeCells>
  <dataValidations count="1">
    <dataValidation type="list" showErrorMessage="1" errorTitle="Invalid Entry" error="Please only choose _x000a_S, U/S, DEPLOYED, and PAST INSP DUE" promptTitle="Current Item Condition " prompt="Please, Indicates current item's condition._x000a__x000a_S = Serviceable_x000a__x000a_U/S = UnServiceable/Damaged/under repair/replacement required_x000a__x000a_Deployed = HSC/RIP/HLTA/Temp Loan to remote locations_x000a__x000a_Maint = Item sent to inspection/repair facility  " sqref="G3:G8" xr:uid="{965B439F-1CC2-424A-BA9B-AB88294F0081}">
      <formula1>$Q$5:$Q$11</formula1>
    </dataValidation>
  </dataValidations>
  <pageMargins left="0.7" right="0.7" top="0.75" bottom="0.75" header="0.3" footer="0.3"/>
  <pageSetup paperSize="5" scale="62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2BAE-EEC1-4D6F-B8BC-09D538A53A8E}">
  <sheetPr codeName="Sheet12"/>
  <dimension ref="A1:U79"/>
  <sheetViews>
    <sheetView showGridLines="0" workbookViewId="0">
      <pane ySplit="20" topLeftCell="A43" activePane="bottomLeft" state="frozen"/>
      <selection activeCell="L5" sqref="L5"/>
      <selection pane="bottomLeft" activeCell="B79" sqref="B79"/>
    </sheetView>
  </sheetViews>
  <sheetFormatPr defaultRowHeight="12.75" x14ac:dyDescent="0.2"/>
  <cols>
    <col min="1" max="1" width="16.7109375" customWidth="1"/>
    <col min="2" max="2" width="19.140625" customWidth="1"/>
    <col min="3" max="3" width="19.140625" hidden="1" customWidth="1"/>
    <col min="4" max="4" width="21.85546875" customWidth="1"/>
    <col min="5" max="5" width="52.85546875" customWidth="1"/>
    <col min="6" max="10" width="9.140625" hidden="1" customWidth="1"/>
    <col min="12" max="12" width="16.85546875" customWidth="1"/>
    <col min="14" max="14" width="24" customWidth="1"/>
    <col min="15" max="15" width="20.7109375" customWidth="1"/>
    <col min="20" max="20" width="12.140625" customWidth="1"/>
    <col min="21" max="21" width="18.140625" customWidth="1"/>
    <col min="22" max="22" width="19" customWidth="1"/>
  </cols>
  <sheetData>
    <row r="1" spans="1:21" x14ac:dyDescent="0.2">
      <c r="L1" s="108"/>
      <c r="M1" s="109"/>
      <c r="N1" s="109"/>
      <c r="O1" s="109"/>
    </row>
    <row r="2" spans="1:21" x14ac:dyDescent="0.2">
      <c r="A2" s="112" t="s">
        <v>2762</v>
      </c>
      <c r="B2" s="112" t="s">
        <v>2184</v>
      </c>
      <c r="C2" s="112" t="s">
        <v>2763</v>
      </c>
      <c r="D2" s="112" t="s">
        <v>1976</v>
      </c>
      <c r="E2" s="112" t="s">
        <v>634</v>
      </c>
      <c r="F2" s="112" t="s">
        <v>9</v>
      </c>
      <c r="G2" s="112" t="s">
        <v>10</v>
      </c>
      <c r="H2" s="112" t="s">
        <v>11</v>
      </c>
      <c r="I2" s="112" t="s">
        <v>12</v>
      </c>
      <c r="J2" s="112" t="s">
        <v>13</v>
      </c>
      <c r="K2" s="189"/>
      <c r="L2" s="1815" t="s">
        <v>2764</v>
      </c>
      <c r="M2" s="2064"/>
      <c r="N2" s="2064"/>
      <c r="O2" s="1749"/>
    </row>
    <row r="3" spans="1:21" ht="39.75" customHeight="1" x14ac:dyDescent="0.2">
      <c r="A3" s="22" t="s">
        <v>2765</v>
      </c>
      <c r="B3" s="147" t="s">
        <v>688</v>
      </c>
      <c r="C3" s="180"/>
      <c r="D3" s="168" t="s">
        <v>2046</v>
      </c>
      <c r="E3" s="261" t="s">
        <v>2766</v>
      </c>
      <c r="F3" s="2073">
        <v>4</v>
      </c>
      <c r="G3" s="2061">
        <v>1</v>
      </c>
      <c r="H3" s="2068">
        <f>COUNTIF(B3:B6,"S")</f>
        <v>0</v>
      </c>
      <c r="I3" s="2071">
        <f>H3/F3</f>
        <v>0</v>
      </c>
      <c r="J3" s="1622">
        <f>IF(H3/G3&gt;1,1,H3/G3)</f>
        <v>0</v>
      </c>
      <c r="K3" s="183"/>
      <c r="L3" s="29" t="s">
        <v>2767</v>
      </c>
      <c r="M3" s="2091" t="s">
        <v>2768</v>
      </c>
      <c r="N3" s="2092"/>
      <c r="O3" s="104" t="s">
        <v>2769</v>
      </c>
      <c r="U3" s="108" t="s">
        <v>682</v>
      </c>
    </row>
    <row r="4" spans="1:21" ht="44.25" customHeight="1" x14ac:dyDescent="0.2">
      <c r="A4" s="22" t="s">
        <v>2770</v>
      </c>
      <c r="B4" s="147" t="s">
        <v>688</v>
      </c>
      <c r="C4" s="147"/>
      <c r="D4" s="168" t="s">
        <v>2046</v>
      </c>
      <c r="E4" s="147" t="s">
        <v>2771</v>
      </c>
      <c r="F4" s="2074"/>
      <c r="G4" s="2062"/>
      <c r="H4" s="2069"/>
      <c r="I4" s="2072"/>
      <c r="J4" s="1629"/>
      <c r="K4" s="183"/>
      <c r="L4" s="29" t="s">
        <v>2767</v>
      </c>
      <c r="M4" s="1671" t="s">
        <v>2772</v>
      </c>
      <c r="N4" s="1670"/>
      <c r="O4" s="104" t="s">
        <v>2773</v>
      </c>
      <c r="U4" s="940" t="s">
        <v>688</v>
      </c>
    </row>
    <row r="5" spans="1:21" ht="40.5" customHeight="1" x14ac:dyDescent="0.2">
      <c r="A5" s="22" t="s">
        <v>2774</v>
      </c>
      <c r="B5" s="147" t="s">
        <v>4</v>
      </c>
      <c r="C5" s="180"/>
      <c r="D5" s="168" t="s">
        <v>2775</v>
      </c>
      <c r="E5" s="261"/>
      <c r="F5" s="2074"/>
      <c r="G5" s="2062"/>
      <c r="H5" s="2069"/>
      <c r="I5" s="2072"/>
      <c r="J5" s="1629"/>
      <c r="K5" s="183"/>
      <c r="L5" s="29" t="s">
        <v>2767</v>
      </c>
      <c r="M5" s="1671" t="s">
        <v>2776</v>
      </c>
      <c r="N5" s="1670"/>
      <c r="O5" s="104" t="s">
        <v>2777</v>
      </c>
      <c r="U5" s="191" t="s">
        <v>4</v>
      </c>
    </row>
    <row r="6" spans="1:21" ht="45" customHeight="1" x14ac:dyDescent="0.2">
      <c r="A6" s="22" t="s">
        <v>2778</v>
      </c>
      <c r="B6" s="190" t="s">
        <v>4</v>
      </c>
      <c r="C6" s="182">
        <v>41656</v>
      </c>
      <c r="D6" s="168" t="s">
        <v>2779</v>
      </c>
      <c r="E6" s="260"/>
      <c r="F6" s="2075"/>
      <c r="G6" s="2063"/>
      <c r="H6" s="2070"/>
      <c r="I6" s="2024"/>
      <c r="J6" s="1630"/>
      <c r="K6" s="183"/>
      <c r="L6" s="1628" t="s">
        <v>2767</v>
      </c>
      <c r="M6" s="2053" t="s">
        <v>2780</v>
      </c>
      <c r="N6" s="2054"/>
      <c r="O6" s="2093" t="s">
        <v>2781</v>
      </c>
    </row>
    <row r="7" spans="1:21" x14ac:dyDescent="0.2">
      <c r="L7" s="1629"/>
      <c r="M7" s="2055"/>
      <c r="N7" s="2056"/>
      <c r="O7" s="2072"/>
    </row>
    <row r="8" spans="1:21" x14ac:dyDescent="0.2">
      <c r="L8" s="1630"/>
      <c r="M8" s="2059"/>
      <c r="N8" s="2060"/>
      <c r="O8" s="2024"/>
    </row>
    <row r="9" spans="1:21" x14ac:dyDescent="0.2">
      <c r="L9" s="1628">
        <v>450</v>
      </c>
      <c r="M9" s="2053" t="s">
        <v>2782</v>
      </c>
      <c r="N9" s="2054"/>
      <c r="O9" s="2093" t="s">
        <v>2783</v>
      </c>
    </row>
    <row r="10" spans="1:21" x14ac:dyDescent="0.2">
      <c r="A10" s="1814" t="s">
        <v>2784</v>
      </c>
      <c r="B10" s="2064"/>
      <c r="C10" s="2064"/>
      <c r="D10" s="2064"/>
      <c r="E10" s="1749"/>
      <c r="G10" s="78"/>
      <c r="H10" s="78"/>
      <c r="I10" s="78"/>
      <c r="L10" s="1629"/>
      <c r="M10" s="2055"/>
      <c r="N10" s="2056"/>
      <c r="O10" s="2072"/>
    </row>
    <row r="11" spans="1:21" x14ac:dyDescent="0.2">
      <c r="A11" s="2065" t="s">
        <v>2785</v>
      </c>
      <c r="B11" s="2066"/>
      <c r="C11" s="2066"/>
      <c r="D11" s="2066"/>
      <c r="E11" s="2067"/>
      <c r="F11" s="185"/>
      <c r="G11" s="185"/>
      <c r="H11" s="185"/>
      <c r="I11" s="185"/>
      <c r="L11" s="1630"/>
      <c r="M11" s="2057"/>
      <c r="N11" s="2058"/>
      <c r="O11" s="2024"/>
    </row>
    <row r="12" spans="1:21" ht="12.75" customHeight="1" x14ac:dyDescent="0.2">
      <c r="A12" s="2095" t="s">
        <v>2786</v>
      </c>
      <c r="B12" s="1774"/>
      <c r="C12" s="1774"/>
      <c r="D12" s="1774"/>
      <c r="E12" s="1621"/>
      <c r="L12" s="2093" t="s">
        <v>2787</v>
      </c>
      <c r="M12" s="2097" t="s">
        <v>2788</v>
      </c>
      <c r="N12" s="2096"/>
      <c r="O12" s="2093" t="s">
        <v>2783</v>
      </c>
    </row>
    <row r="13" spans="1:21" x14ac:dyDescent="0.2">
      <c r="A13" s="2095" t="s">
        <v>2789</v>
      </c>
      <c r="B13" s="1774"/>
      <c r="C13" s="1774"/>
      <c r="D13" s="1774"/>
      <c r="E13" s="1621"/>
      <c r="L13" s="2024"/>
      <c r="M13" s="2059"/>
      <c r="N13" s="2060"/>
      <c r="O13" s="2024"/>
    </row>
    <row r="14" spans="1:21" ht="12.75" customHeight="1" x14ac:dyDescent="0.2">
      <c r="A14" s="2095" t="s">
        <v>2790</v>
      </c>
      <c r="B14" s="1774"/>
      <c r="C14" s="1774"/>
      <c r="D14" s="1774"/>
      <c r="E14" s="1621"/>
      <c r="L14" s="2093" t="s">
        <v>2791</v>
      </c>
      <c r="M14" s="2097" t="s">
        <v>2792</v>
      </c>
      <c r="N14" s="2096"/>
      <c r="O14" s="2093" t="s">
        <v>2781</v>
      </c>
    </row>
    <row r="15" spans="1:21" x14ac:dyDescent="0.2">
      <c r="A15" s="1773" t="s">
        <v>2793</v>
      </c>
      <c r="B15" s="1774"/>
      <c r="C15" s="1774"/>
      <c r="D15" s="1774"/>
      <c r="E15" s="1621"/>
      <c r="L15" s="2024"/>
      <c r="M15" s="2059"/>
      <c r="N15" s="2060"/>
      <c r="O15" s="2024"/>
    </row>
    <row r="16" spans="1:21" ht="12.75" customHeight="1" x14ac:dyDescent="0.2">
      <c r="A16" s="2094"/>
      <c r="B16" s="1830"/>
      <c r="C16" s="1830"/>
      <c r="D16" s="1830"/>
      <c r="E16" s="1831"/>
      <c r="F16" s="186"/>
      <c r="G16" s="186"/>
      <c r="H16" s="186"/>
      <c r="I16" s="186"/>
      <c r="L16" s="2093" t="s">
        <v>2794</v>
      </c>
      <c r="M16" s="2053" t="s">
        <v>2795</v>
      </c>
      <c r="N16" s="2054"/>
      <c r="O16" s="2096" t="s">
        <v>2781</v>
      </c>
    </row>
    <row r="17" spans="1:15" x14ac:dyDescent="0.2">
      <c r="A17" s="2094" t="s">
        <v>2796</v>
      </c>
      <c r="B17" s="1830"/>
      <c r="C17" s="1830"/>
      <c r="D17" s="1830"/>
      <c r="E17" s="1831"/>
      <c r="F17" s="186"/>
      <c r="G17" s="186"/>
      <c r="H17" s="186"/>
      <c r="I17" s="186"/>
      <c r="L17" s="2024"/>
      <c r="M17" s="2057"/>
      <c r="N17" s="2058"/>
      <c r="O17" s="2060"/>
    </row>
    <row r="18" spans="1:15" ht="12.75" customHeight="1" x14ac:dyDescent="0.2">
      <c r="A18" s="2094"/>
      <c r="B18" s="1830"/>
      <c r="C18" s="1830"/>
      <c r="D18" s="1830"/>
      <c r="E18" s="1831"/>
      <c r="F18" s="186"/>
      <c r="G18" s="186"/>
      <c r="H18" s="186"/>
      <c r="I18" s="186"/>
    </row>
    <row r="19" spans="1:15" x14ac:dyDescent="0.2">
      <c r="A19" s="2094" t="s">
        <v>2797</v>
      </c>
      <c r="B19" s="1830"/>
      <c r="C19" s="1830"/>
      <c r="D19" s="1830"/>
      <c r="E19" s="1831"/>
      <c r="F19" s="186"/>
      <c r="G19" s="186"/>
      <c r="H19" s="186"/>
      <c r="I19" s="186"/>
    </row>
    <row r="23" spans="1:15" x14ac:dyDescent="0.2">
      <c r="A23" s="1814" t="s">
        <v>2798</v>
      </c>
      <c r="B23" s="2064"/>
      <c r="C23" s="2064"/>
      <c r="D23" s="2064"/>
      <c r="E23" s="1749"/>
      <c r="F23" s="78"/>
      <c r="G23" s="78"/>
      <c r="H23" s="78"/>
      <c r="I23" s="78"/>
      <c r="L23" s="1814" t="s">
        <v>2799</v>
      </c>
      <c r="M23" s="2064"/>
      <c r="N23" s="2064"/>
      <c r="O23" s="1749"/>
    </row>
    <row r="24" spans="1:15" x14ac:dyDescent="0.2">
      <c r="A24" s="1789" t="s">
        <v>2800</v>
      </c>
      <c r="B24" s="2083"/>
      <c r="C24" s="2083"/>
      <c r="D24" s="2084"/>
      <c r="E24" s="112" t="s">
        <v>2801</v>
      </c>
      <c r="F24" s="189"/>
      <c r="G24" s="189"/>
      <c r="H24" s="189"/>
      <c r="I24" s="189"/>
      <c r="L24" s="2089" t="s">
        <v>2802</v>
      </c>
      <c r="M24" s="2090"/>
      <c r="N24" s="2089" t="s">
        <v>2803</v>
      </c>
      <c r="O24" s="2090"/>
    </row>
    <row r="25" spans="1:15" x14ac:dyDescent="0.2">
      <c r="A25" s="2085"/>
      <c r="B25" s="2086"/>
      <c r="C25" s="2086"/>
      <c r="D25" s="2087"/>
      <c r="E25" s="22">
        <v>4662.6000000000004</v>
      </c>
      <c r="F25" s="78"/>
      <c r="G25" s="78"/>
      <c r="H25" s="78"/>
      <c r="I25" s="78"/>
      <c r="L25" s="2088" t="s">
        <v>2804</v>
      </c>
      <c r="M25" s="2088"/>
      <c r="N25" s="2088" t="e">
        <f ca="1">DATEDIF(TODAY(),B33,"d")</f>
        <v>#NUM!</v>
      </c>
      <c r="O25" s="2088"/>
    </row>
    <row r="26" spans="1:15" x14ac:dyDescent="0.2">
      <c r="A26" s="105" t="s">
        <v>2802</v>
      </c>
      <c r="B26" s="105" t="s">
        <v>2805</v>
      </c>
      <c r="C26" s="105"/>
      <c r="D26" s="105" t="s">
        <v>2806</v>
      </c>
      <c r="E26" s="2076" t="s">
        <v>2807</v>
      </c>
      <c r="F26" s="187"/>
      <c r="G26" s="187"/>
      <c r="H26" s="187"/>
      <c r="I26" s="187"/>
      <c r="L26" s="2088" t="s">
        <v>2794</v>
      </c>
      <c r="M26" s="2088"/>
      <c r="N26" s="2088" t="e">
        <f ca="1">DATEDIF(TODAY(),B34,"d")</f>
        <v>#NUM!</v>
      </c>
      <c r="O26" s="2088"/>
    </row>
    <row r="27" spans="1:15" x14ac:dyDescent="0.2">
      <c r="A27" s="22" t="s">
        <v>2808</v>
      </c>
      <c r="B27" s="22">
        <v>3144</v>
      </c>
      <c r="C27" s="22"/>
      <c r="D27" s="113">
        <f>B27-E25</f>
        <v>-1518.6000000000004</v>
      </c>
      <c r="E27" s="2079"/>
      <c r="F27" s="139"/>
      <c r="G27" s="139"/>
      <c r="H27" s="139"/>
      <c r="I27" s="139"/>
      <c r="L27" s="2"/>
      <c r="M27" s="2"/>
      <c r="N27" s="2"/>
      <c r="O27" s="2"/>
    </row>
    <row r="28" spans="1:15" x14ac:dyDescent="0.2">
      <c r="A28" s="22" t="s">
        <v>2809</v>
      </c>
      <c r="B28" s="22">
        <v>3918.5</v>
      </c>
      <c r="C28" s="22"/>
      <c r="D28" s="113">
        <f>B28-E25</f>
        <v>-744.10000000000036</v>
      </c>
      <c r="E28" s="2079"/>
      <c r="F28" s="139"/>
      <c r="G28" s="139"/>
      <c r="H28" s="139"/>
      <c r="I28" s="139"/>
      <c r="L28" s="2"/>
      <c r="M28" s="2"/>
      <c r="N28" s="2"/>
      <c r="O28" s="2"/>
    </row>
    <row r="29" spans="1:15" x14ac:dyDescent="0.2">
      <c r="A29" s="106" t="s">
        <v>2810</v>
      </c>
      <c r="B29" s="106">
        <v>4446.8999999999996</v>
      </c>
      <c r="C29" s="106"/>
      <c r="D29" s="113">
        <f>B29-E25</f>
        <v>-215.70000000000073</v>
      </c>
      <c r="E29" s="2080"/>
      <c r="F29" s="139"/>
      <c r="G29" s="139"/>
      <c r="H29" s="139"/>
      <c r="I29" s="139"/>
    </row>
    <row r="30" spans="1:15" x14ac:dyDescent="0.2">
      <c r="A30" s="1806" t="s">
        <v>2811</v>
      </c>
      <c r="B30" s="2081"/>
      <c r="C30" s="2081"/>
      <c r="D30" s="1807"/>
      <c r="E30" s="112" t="s">
        <v>2812</v>
      </c>
      <c r="F30" s="189"/>
      <c r="G30" s="189"/>
      <c r="H30" s="189"/>
      <c r="I30" s="189"/>
    </row>
    <row r="31" spans="1:15" x14ac:dyDescent="0.2">
      <c r="A31" s="1810"/>
      <c r="B31" s="2082"/>
      <c r="C31" s="2082"/>
      <c r="D31" s="1811"/>
      <c r="E31" s="107">
        <v>40057</v>
      </c>
      <c r="F31" s="188"/>
      <c r="G31" s="188"/>
      <c r="H31" s="188"/>
      <c r="I31" s="188"/>
    </row>
    <row r="32" spans="1:15" x14ac:dyDescent="0.2">
      <c r="A32" s="105" t="s">
        <v>2802</v>
      </c>
      <c r="B32" s="105" t="s">
        <v>2813</v>
      </c>
      <c r="C32" s="105"/>
      <c r="D32" s="105" t="s">
        <v>2814</v>
      </c>
      <c r="E32" s="2076" t="s">
        <v>2815</v>
      </c>
      <c r="F32" s="187"/>
      <c r="G32" s="187"/>
      <c r="H32" s="187"/>
      <c r="I32" s="187"/>
    </row>
    <row r="33" spans="1:15" ht="14.25" x14ac:dyDescent="0.2">
      <c r="A33" s="22" t="s">
        <v>2804</v>
      </c>
      <c r="B33" s="107">
        <v>42515</v>
      </c>
      <c r="C33" s="107"/>
      <c r="D33" s="114" t="e">
        <f ca="1">DATEDIF(TODAY(),B33,"m")</f>
        <v>#NUM!</v>
      </c>
      <c r="E33" s="2079"/>
      <c r="F33" s="139"/>
      <c r="G33" s="139"/>
      <c r="H33" s="139"/>
      <c r="I33" s="139"/>
    </row>
    <row r="34" spans="1:15" ht="14.25" x14ac:dyDescent="0.2">
      <c r="A34" s="22" t="s">
        <v>2794</v>
      </c>
      <c r="B34" s="107">
        <v>43709</v>
      </c>
      <c r="C34" s="107"/>
      <c r="D34" s="114" t="e">
        <f ca="1">DATEDIF(TODAY(),B34,"m")</f>
        <v>#NUM!</v>
      </c>
      <c r="E34" s="2080"/>
      <c r="F34" s="139"/>
      <c r="G34" s="139"/>
      <c r="H34" s="139"/>
      <c r="I34" s="139"/>
    </row>
    <row r="38" spans="1:15" x14ac:dyDescent="0.2">
      <c r="A38" s="1814" t="s">
        <v>2816</v>
      </c>
      <c r="B38" s="2064"/>
      <c r="C38" s="2064"/>
      <c r="D38" s="2064"/>
      <c r="E38" s="1749"/>
      <c r="F38" s="78"/>
      <c r="G38" s="78"/>
      <c r="H38" s="78"/>
      <c r="I38" s="78"/>
    </row>
    <row r="39" spans="1:15" x14ac:dyDescent="0.2">
      <c r="A39" s="1789" t="s">
        <v>2800</v>
      </c>
      <c r="B39" s="2083"/>
      <c r="C39" s="2083"/>
      <c r="D39" s="2084"/>
      <c r="E39" s="112" t="s">
        <v>2801</v>
      </c>
      <c r="F39" s="189"/>
      <c r="G39" s="189"/>
      <c r="H39" s="189"/>
      <c r="I39" s="189"/>
      <c r="L39" s="1814" t="s">
        <v>2817</v>
      </c>
      <c r="M39" s="1815"/>
      <c r="N39" s="1815"/>
      <c r="O39" s="1816"/>
    </row>
    <row r="40" spans="1:15" x14ac:dyDescent="0.2">
      <c r="A40" s="2085"/>
      <c r="B40" s="2086"/>
      <c r="C40" s="2086"/>
      <c r="D40" s="2087"/>
      <c r="E40" s="22">
        <v>3046.4</v>
      </c>
      <c r="F40" s="78"/>
      <c r="G40" s="78"/>
      <c r="H40" s="78"/>
      <c r="I40" s="78"/>
      <c r="L40" s="1814" t="s">
        <v>2802</v>
      </c>
      <c r="M40" s="1816"/>
      <c r="N40" s="2089" t="s">
        <v>2803</v>
      </c>
      <c r="O40" s="2090"/>
    </row>
    <row r="41" spans="1:15" x14ac:dyDescent="0.2">
      <c r="A41" s="105" t="s">
        <v>2802</v>
      </c>
      <c r="B41" s="105" t="s">
        <v>2805</v>
      </c>
      <c r="C41" s="105"/>
      <c r="D41" s="105" t="s">
        <v>2806</v>
      </c>
      <c r="E41" s="2076" t="s">
        <v>2818</v>
      </c>
      <c r="F41" s="187"/>
      <c r="G41" s="187"/>
      <c r="H41" s="187"/>
      <c r="I41" s="187"/>
      <c r="L41" s="1671" t="s">
        <v>2804</v>
      </c>
      <c r="M41" s="1670"/>
      <c r="N41" s="2088" t="e">
        <f ca="1">DATEDIF(TODAY(),B48,"d")</f>
        <v>#NUM!</v>
      </c>
      <c r="O41" s="2088"/>
    </row>
    <row r="42" spans="1:15" x14ac:dyDescent="0.2">
      <c r="A42" s="22" t="s">
        <v>2808</v>
      </c>
      <c r="B42" s="22">
        <v>0</v>
      </c>
      <c r="C42" s="22"/>
      <c r="D42" s="113">
        <f>B42-E40</f>
        <v>-3046.4</v>
      </c>
      <c r="E42" s="2079"/>
      <c r="F42" s="139"/>
      <c r="G42" s="139"/>
      <c r="H42" s="139"/>
      <c r="I42" s="139"/>
      <c r="L42" s="1671" t="s">
        <v>2794</v>
      </c>
      <c r="M42" s="1670"/>
      <c r="N42" s="2088" t="e">
        <f ca="1">DATEDIF(TODAY(),B49,"d")</f>
        <v>#NUM!</v>
      </c>
      <c r="O42" s="2088"/>
    </row>
    <row r="43" spans="1:15" x14ac:dyDescent="0.2">
      <c r="A43" s="22" t="s">
        <v>2809</v>
      </c>
      <c r="B43" s="22">
        <v>0</v>
      </c>
      <c r="C43" s="22"/>
      <c r="D43" s="113">
        <f>B43-E40</f>
        <v>-3046.4</v>
      </c>
      <c r="E43" s="2079"/>
      <c r="F43" s="139"/>
      <c r="G43" s="139"/>
      <c r="H43" s="139"/>
      <c r="I43" s="139"/>
      <c r="L43" s="2"/>
      <c r="M43" s="2"/>
      <c r="N43" s="2"/>
      <c r="O43" s="2"/>
    </row>
    <row r="44" spans="1:15" x14ac:dyDescent="0.2">
      <c r="A44" s="106" t="s">
        <v>2810</v>
      </c>
      <c r="B44" s="106">
        <v>0</v>
      </c>
      <c r="C44" s="106"/>
      <c r="D44" s="113">
        <f>B44-E40</f>
        <v>-3046.4</v>
      </c>
      <c r="E44" s="2080"/>
      <c r="F44" s="139"/>
      <c r="G44" s="139"/>
      <c r="H44" s="139"/>
      <c r="I44" s="139"/>
      <c r="L44" s="2"/>
      <c r="M44" s="2"/>
      <c r="N44" s="2"/>
      <c r="O44" s="2"/>
    </row>
    <row r="45" spans="1:15" x14ac:dyDescent="0.2">
      <c r="A45" s="1806" t="s">
        <v>2819</v>
      </c>
      <c r="B45" s="2081"/>
      <c r="C45" s="2081"/>
      <c r="D45" s="1807"/>
      <c r="E45" s="112" t="s">
        <v>2812</v>
      </c>
      <c r="F45" s="189"/>
      <c r="G45" s="189"/>
      <c r="H45" s="189"/>
      <c r="I45" s="189"/>
    </row>
    <row r="46" spans="1:15" x14ac:dyDescent="0.2">
      <c r="A46" s="1810"/>
      <c r="B46" s="2082"/>
      <c r="C46" s="2082"/>
      <c r="D46" s="1811"/>
      <c r="E46" s="107">
        <v>40057</v>
      </c>
      <c r="F46" s="188"/>
      <c r="G46" s="188"/>
      <c r="H46" s="188"/>
      <c r="I46" s="188"/>
    </row>
    <row r="47" spans="1:15" x14ac:dyDescent="0.2">
      <c r="A47" s="105" t="s">
        <v>2802</v>
      </c>
      <c r="B47" s="105" t="s">
        <v>2813</v>
      </c>
      <c r="C47" s="105"/>
      <c r="D47" s="105" t="s">
        <v>2814</v>
      </c>
      <c r="E47" s="2076" t="s">
        <v>2820</v>
      </c>
      <c r="F47" s="187"/>
      <c r="G47" s="187"/>
      <c r="H47" s="187"/>
      <c r="I47" s="187"/>
    </row>
    <row r="48" spans="1:15" ht="14.25" x14ac:dyDescent="0.2">
      <c r="A48" s="22" t="s">
        <v>2804</v>
      </c>
      <c r="B48" s="107">
        <v>40787</v>
      </c>
      <c r="C48" s="107"/>
      <c r="D48" s="114" t="e">
        <f ca="1">DATEDIF(TODAY(),B48,"m")</f>
        <v>#NUM!</v>
      </c>
      <c r="E48" s="2077"/>
      <c r="F48" s="184"/>
      <c r="G48" s="184"/>
      <c r="H48" s="184"/>
      <c r="I48" s="184"/>
    </row>
    <row r="49" spans="1:15" ht="14.25" x14ac:dyDescent="0.2">
      <c r="A49" s="22" t="s">
        <v>2794</v>
      </c>
      <c r="B49" s="107">
        <v>43709</v>
      </c>
      <c r="C49" s="107"/>
      <c r="D49" s="114" t="e">
        <f ca="1">DATEDIF(TODAY(),B49,"m")</f>
        <v>#NUM!</v>
      </c>
      <c r="E49" s="2078"/>
      <c r="F49" s="184"/>
      <c r="G49" s="184"/>
      <c r="H49" s="184"/>
      <c r="I49" s="184"/>
    </row>
    <row r="53" spans="1:15" x14ac:dyDescent="0.2">
      <c r="A53" s="1814" t="s">
        <v>2821</v>
      </c>
      <c r="B53" s="2064"/>
      <c r="C53" s="2064"/>
      <c r="D53" s="2064"/>
      <c r="E53" s="1749"/>
      <c r="F53" s="78"/>
      <c r="G53" s="78"/>
      <c r="H53" s="78"/>
      <c r="I53" s="78"/>
    </row>
    <row r="54" spans="1:15" x14ac:dyDescent="0.2">
      <c r="A54" s="1789" t="s">
        <v>2800</v>
      </c>
      <c r="B54" s="2083"/>
      <c r="C54" s="2083"/>
      <c r="D54" s="2084"/>
      <c r="E54" s="112" t="s">
        <v>2801</v>
      </c>
      <c r="F54" s="189"/>
      <c r="G54" s="189"/>
      <c r="H54" s="189"/>
      <c r="I54" s="189"/>
    </row>
    <row r="55" spans="1:15" x14ac:dyDescent="0.2">
      <c r="A55" s="2085"/>
      <c r="B55" s="2086"/>
      <c r="C55" s="2086"/>
      <c r="D55" s="2087"/>
      <c r="E55" s="22">
        <v>7148.9</v>
      </c>
      <c r="F55" s="78"/>
      <c r="G55" s="78"/>
      <c r="H55" s="78"/>
      <c r="I55" s="78"/>
      <c r="L55" s="1814" t="s">
        <v>2822</v>
      </c>
      <c r="M55" s="1815"/>
      <c r="N55" s="1815"/>
      <c r="O55" s="1816"/>
    </row>
    <row r="56" spans="1:15" x14ac:dyDescent="0.2">
      <c r="A56" s="105" t="s">
        <v>2802</v>
      </c>
      <c r="B56" s="105" t="s">
        <v>2805</v>
      </c>
      <c r="C56" s="105"/>
      <c r="D56" s="105" t="s">
        <v>2806</v>
      </c>
      <c r="E56" s="2076" t="s">
        <v>2823</v>
      </c>
      <c r="F56" s="187"/>
      <c r="G56" s="187"/>
      <c r="H56" s="187"/>
      <c r="I56" s="187"/>
      <c r="L56" s="1814" t="s">
        <v>2802</v>
      </c>
      <c r="M56" s="1816"/>
      <c r="N56" s="2089" t="s">
        <v>2803</v>
      </c>
      <c r="O56" s="2090"/>
    </row>
    <row r="57" spans="1:15" x14ac:dyDescent="0.2">
      <c r="A57" s="22" t="s">
        <v>2824</v>
      </c>
      <c r="B57" s="22">
        <v>6225</v>
      </c>
      <c r="C57" s="22"/>
      <c r="D57" s="113">
        <f>B57-E55</f>
        <v>-923.89999999999964</v>
      </c>
      <c r="E57" s="2079"/>
      <c r="F57" s="139"/>
      <c r="G57" s="139"/>
      <c r="H57" s="139"/>
      <c r="I57" s="139"/>
      <c r="L57" s="1671" t="s">
        <v>2804</v>
      </c>
      <c r="M57" s="1670"/>
      <c r="N57" s="2088" t="e">
        <f ca="1">DATEDIF(TODAY(),B63,"d")</f>
        <v>#NUM!</v>
      </c>
      <c r="O57" s="2088"/>
    </row>
    <row r="58" spans="1:15" x14ac:dyDescent="0.2">
      <c r="A58" s="22" t="s">
        <v>2825</v>
      </c>
      <c r="B58" s="22">
        <v>6672.5</v>
      </c>
      <c r="C58" s="22"/>
      <c r="D58" s="113">
        <f>B58-E55</f>
        <v>-476.39999999999964</v>
      </c>
      <c r="E58" s="2079"/>
      <c r="F58" s="139"/>
      <c r="G58" s="139"/>
      <c r="H58" s="139"/>
      <c r="I58" s="139"/>
      <c r="L58" s="1671" t="s">
        <v>2794</v>
      </c>
      <c r="M58" s="1670"/>
      <c r="N58" s="2088" t="e">
        <f ca="1">DATEDIF(TODAY(),B64,"d")</f>
        <v>#NUM!</v>
      </c>
      <c r="O58" s="2088"/>
    </row>
    <row r="59" spans="1:15" x14ac:dyDescent="0.2">
      <c r="A59" s="106" t="s">
        <v>2810</v>
      </c>
      <c r="B59" s="106">
        <v>7370.4</v>
      </c>
      <c r="C59" s="106"/>
      <c r="D59" s="113">
        <f>B59-E55</f>
        <v>221.5</v>
      </c>
      <c r="E59" s="2080"/>
      <c r="F59" s="139"/>
      <c r="G59" s="139"/>
      <c r="H59" s="139"/>
      <c r="I59" s="139"/>
    </row>
    <row r="60" spans="1:15" x14ac:dyDescent="0.2">
      <c r="A60" s="1806" t="s">
        <v>2819</v>
      </c>
      <c r="B60" s="2081"/>
      <c r="C60" s="2081"/>
      <c r="D60" s="1807"/>
      <c r="E60" s="112" t="s">
        <v>2812</v>
      </c>
      <c r="F60" s="189"/>
      <c r="G60" s="189"/>
      <c r="H60" s="189"/>
      <c r="I60" s="189"/>
    </row>
    <row r="61" spans="1:15" x14ac:dyDescent="0.2">
      <c r="A61" s="1810"/>
      <c r="B61" s="2082"/>
      <c r="C61" s="2082"/>
      <c r="D61" s="1811"/>
      <c r="E61" s="107">
        <v>40695</v>
      </c>
      <c r="F61" s="188"/>
      <c r="G61" s="188"/>
      <c r="H61" s="188"/>
      <c r="I61" s="188"/>
    </row>
    <row r="62" spans="1:15" x14ac:dyDescent="0.2">
      <c r="A62" s="105" t="s">
        <v>2802</v>
      </c>
      <c r="B62" s="105" t="s">
        <v>2813</v>
      </c>
      <c r="C62" s="105"/>
      <c r="D62" s="105" t="s">
        <v>2814</v>
      </c>
      <c r="E62" s="2076" t="s">
        <v>2815</v>
      </c>
      <c r="F62" s="187"/>
      <c r="G62" s="187"/>
      <c r="H62" s="187"/>
      <c r="I62" s="187"/>
    </row>
    <row r="63" spans="1:15" ht="14.25" x14ac:dyDescent="0.2">
      <c r="A63" s="22" t="s">
        <v>2804</v>
      </c>
      <c r="B63" s="107">
        <v>42483</v>
      </c>
      <c r="C63" s="107"/>
      <c r="D63" s="114" t="e">
        <f ca="1">DATEDIF(TODAY(),B63,"m")</f>
        <v>#NUM!</v>
      </c>
      <c r="E63" s="2077"/>
      <c r="F63" s="184"/>
      <c r="G63" s="184"/>
      <c r="H63" s="184"/>
      <c r="I63" s="184"/>
    </row>
    <row r="64" spans="1:15" ht="14.25" x14ac:dyDescent="0.2">
      <c r="A64" s="22" t="s">
        <v>2794</v>
      </c>
      <c r="B64" s="107">
        <v>44348</v>
      </c>
      <c r="C64" s="107"/>
      <c r="D64" s="114" t="e">
        <f ca="1">DATEDIF(TODAY(),B64,"m")</f>
        <v>#NUM!</v>
      </c>
      <c r="E64" s="2078"/>
      <c r="F64" s="184"/>
      <c r="G64" s="184"/>
      <c r="H64" s="184"/>
      <c r="I64" s="184"/>
    </row>
    <row r="68" spans="1:15" x14ac:dyDescent="0.2">
      <c r="A68" s="1814" t="s">
        <v>2826</v>
      </c>
      <c r="B68" s="2064"/>
      <c r="C68" s="2064"/>
      <c r="D68" s="2064"/>
      <c r="E68" s="1749"/>
      <c r="F68" s="78"/>
      <c r="G68" s="78"/>
      <c r="H68" s="78"/>
      <c r="I68" s="78"/>
    </row>
    <row r="69" spans="1:15" x14ac:dyDescent="0.2">
      <c r="A69" s="1789" t="s">
        <v>2800</v>
      </c>
      <c r="B69" s="2083"/>
      <c r="C69" s="2083"/>
      <c r="D69" s="2084"/>
      <c r="E69" s="112" t="s">
        <v>2801</v>
      </c>
      <c r="F69" s="189"/>
      <c r="G69" s="189"/>
      <c r="H69" s="189"/>
      <c r="I69" s="189"/>
    </row>
    <row r="70" spans="1:15" x14ac:dyDescent="0.2">
      <c r="A70" s="2085"/>
      <c r="B70" s="2086"/>
      <c r="C70" s="2086"/>
      <c r="D70" s="2087"/>
      <c r="E70" s="22">
        <v>5128.7</v>
      </c>
      <c r="F70" s="78"/>
      <c r="G70" s="78"/>
      <c r="H70" s="78"/>
      <c r="I70" s="78"/>
    </row>
    <row r="71" spans="1:15" ht="12.75" customHeight="1" x14ac:dyDescent="0.2">
      <c r="A71" s="105" t="s">
        <v>2802</v>
      </c>
      <c r="B71" s="105" t="s">
        <v>2805</v>
      </c>
      <c r="C71" s="105"/>
      <c r="D71" s="105" t="s">
        <v>2806</v>
      </c>
      <c r="E71" s="2076" t="s">
        <v>2827</v>
      </c>
      <c r="F71" s="187"/>
      <c r="G71" s="187"/>
      <c r="H71" s="187"/>
      <c r="I71" s="187"/>
      <c r="L71" s="1814" t="s">
        <v>2828</v>
      </c>
      <c r="M71" s="1815"/>
      <c r="N71" s="1815"/>
      <c r="O71" s="1816"/>
    </row>
    <row r="72" spans="1:15" x14ac:dyDescent="0.2">
      <c r="A72" s="22" t="s">
        <v>2824</v>
      </c>
      <c r="B72" s="22">
        <v>3962</v>
      </c>
      <c r="C72" s="22"/>
      <c r="D72" s="113">
        <f>B72-E70</f>
        <v>-1166.6999999999998</v>
      </c>
      <c r="E72" s="2079"/>
      <c r="F72" s="139"/>
      <c r="G72" s="139"/>
      <c r="H72" s="139"/>
      <c r="I72" s="139"/>
      <c r="L72" s="1814" t="s">
        <v>2802</v>
      </c>
      <c r="M72" s="1816"/>
      <c r="N72" s="2089" t="s">
        <v>2803</v>
      </c>
      <c r="O72" s="2090"/>
    </row>
    <row r="73" spans="1:15" x14ac:dyDescent="0.2">
      <c r="A73" s="22" t="s">
        <v>2825</v>
      </c>
      <c r="B73" s="22">
        <v>4272.1000000000004</v>
      </c>
      <c r="C73" s="22"/>
      <c r="D73" s="113">
        <f>B73-E70</f>
        <v>-856.59999999999945</v>
      </c>
      <c r="E73" s="2079"/>
      <c r="F73" s="139"/>
      <c r="G73" s="139"/>
      <c r="H73" s="139"/>
      <c r="I73" s="139"/>
      <c r="L73" s="1671" t="s">
        <v>2804</v>
      </c>
      <c r="M73" s="1670"/>
      <c r="N73" s="2088" t="e">
        <f ca="1">DATEDIF(TODAY(),B78,"d")</f>
        <v>#NUM!</v>
      </c>
      <c r="O73" s="2088"/>
    </row>
    <row r="74" spans="1:15" x14ac:dyDescent="0.2">
      <c r="A74" s="106" t="s">
        <v>2810</v>
      </c>
      <c r="B74" s="106">
        <v>5772.1</v>
      </c>
      <c r="C74" s="106"/>
      <c r="D74" s="113">
        <f>B74-E70</f>
        <v>643.40000000000055</v>
      </c>
      <c r="E74" s="2080"/>
      <c r="F74" s="139"/>
      <c r="G74" s="139"/>
      <c r="H74" s="139"/>
      <c r="I74" s="139"/>
      <c r="L74" s="1671" t="s">
        <v>2794</v>
      </c>
      <c r="M74" s="1670"/>
      <c r="N74" s="2088" t="e">
        <f ca="1">DATEDIF(TODAY(),B79,"d")</f>
        <v>#NUM!</v>
      </c>
      <c r="O74" s="2088"/>
    </row>
    <row r="75" spans="1:15" ht="12.75" customHeight="1" x14ac:dyDescent="0.2">
      <c r="A75" s="1806" t="s">
        <v>2819</v>
      </c>
      <c r="B75" s="2081"/>
      <c r="C75" s="2081"/>
      <c r="D75" s="1807"/>
      <c r="E75" s="112" t="s">
        <v>2812</v>
      </c>
      <c r="F75" s="189"/>
      <c r="G75" s="189"/>
      <c r="H75" s="189"/>
      <c r="I75" s="189"/>
    </row>
    <row r="76" spans="1:15" x14ac:dyDescent="0.2">
      <c r="A76" s="1810"/>
      <c r="B76" s="2082"/>
      <c r="C76" s="2082"/>
      <c r="D76" s="1811"/>
      <c r="E76" s="107">
        <v>40695</v>
      </c>
      <c r="F76" s="188"/>
      <c r="G76" s="188"/>
      <c r="H76" s="188"/>
      <c r="I76" s="188"/>
    </row>
    <row r="77" spans="1:15" ht="12.75" customHeight="1" x14ac:dyDescent="0.2">
      <c r="A77" s="105" t="s">
        <v>2802</v>
      </c>
      <c r="B77" s="105" t="s">
        <v>2813</v>
      </c>
      <c r="C77" s="105"/>
      <c r="D77" s="105" t="s">
        <v>2814</v>
      </c>
      <c r="E77" s="2076" t="s">
        <v>2815</v>
      </c>
      <c r="F77" s="187"/>
      <c r="G77" s="187"/>
      <c r="H77" s="187"/>
      <c r="I77" s="187"/>
    </row>
    <row r="78" spans="1:15" ht="14.25" x14ac:dyDescent="0.2">
      <c r="A78" s="22" t="s">
        <v>2804</v>
      </c>
      <c r="B78" s="107">
        <v>42117</v>
      </c>
      <c r="C78" s="107"/>
      <c r="D78" s="114" t="e">
        <f ca="1">DATEDIF(TODAY(),B78,"m")</f>
        <v>#NUM!</v>
      </c>
      <c r="E78" s="2077"/>
      <c r="F78" s="184"/>
      <c r="G78" s="184"/>
      <c r="H78" s="184"/>
      <c r="I78" s="184"/>
    </row>
    <row r="79" spans="1:15" ht="14.25" x14ac:dyDescent="0.2">
      <c r="A79" s="22" t="s">
        <v>2794</v>
      </c>
      <c r="B79" s="107">
        <v>44348</v>
      </c>
      <c r="C79" s="107"/>
      <c r="D79" s="114" t="e">
        <f ca="1">DATEDIF(TODAY(),B79,"m")</f>
        <v>#NUM!</v>
      </c>
      <c r="E79" s="2078"/>
      <c r="F79" s="184"/>
      <c r="G79" s="184"/>
      <c r="H79" s="184"/>
      <c r="I79" s="184"/>
    </row>
  </sheetData>
  <mergeCells count="82">
    <mergeCell ref="N74:O74"/>
    <mergeCell ref="N73:O73"/>
    <mergeCell ref="L71:O71"/>
    <mergeCell ref="N72:O72"/>
    <mergeCell ref="L74:M74"/>
    <mergeCell ref="L73:M73"/>
    <mergeCell ref="L72:M72"/>
    <mergeCell ref="A38:E38"/>
    <mergeCell ref="L14:L15"/>
    <mergeCell ref="N26:O26"/>
    <mergeCell ref="A24:D25"/>
    <mergeCell ref="L24:M24"/>
    <mergeCell ref="N25:O25"/>
    <mergeCell ref="A19:E19"/>
    <mergeCell ref="E32:E34"/>
    <mergeCell ref="A14:E14"/>
    <mergeCell ref="A30:D31"/>
    <mergeCell ref="N24:O24"/>
    <mergeCell ref="L26:M26"/>
    <mergeCell ref="L25:M25"/>
    <mergeCell ref="M14:N15"/>
    <mergeCell ref="M16:N17"/>
    <mergeCell ref="A23:E23"/>
    <mergeCell ref="L16:L17"/>
    <mergeCell ref="O16:O17"/>
    <mergeCell ref="M12:N13"/>
    <mergeCell ref="A13:E13"/>
    <mergeCell ref="A17:E17"/>
    <mergeCell ref="E26:E29"/>
    <mergeCell ref="L58:M58"/>
    <mergeCell ref="A39:D40"/>
    <mergeCell ref="L2:O2"/>
    <mergeCell ref="M3:N3"/>
    <mergeCell ref="M4:N4"/>
    <mergeCell ref="M5:N5"/>
    <mergeCell ref="L12:L13"/>
    <mergeCell ref="A16:E16"/>
    <mergeCell ref="O12:O13"/>
    <mergeCell ref="O9:O11"/>
    <mergeCell ref="O14:O15"/>
    <mergeCell ref="O6:O8"/>
    <mergeCell ref="A12:E12"/>
    <mergeCell ref="L40:M40"/>
    <mergeCell ref="A18:E18"/>
    <mergeCell ref="L23:O23"/>
    <mergeCell ref="A15:E15"/>
    <mergeCell ref="N57:O57"/>
    <mergeCell ref="N40:O40"/>
    <mergeCell ref="L39:O39"/>
    <mergeCell ref="L42:M42"/>
    <mergeCell ref="E47:E49"/>
    <mergeCell ref="N42:O42"/>
    <mergeCell ref="L57:M57"/>
    <mergeCell ref="L55:O55"/>
    <mergeCell ref="A53:E53"/>
    <mergeCell ref="E56:E59"/>
    <mergeCell ref="N58:O58"/>
    <mergeCell ref="N41:O41"/>
    <mergeCell ref="L56:M56"/>
    <mergeCell ref="N56:O56"/>
    <mergeCell ref="L41:M41"/>
    <mergeCell ref="E77:E79"/>
    <mergeCell ref="E71:E74"/>
    <mergeCell ref="E41:E44"/>
    <mergeCell ref="A68:E68"/>
    <mergeCell ref="E62:E64"/>
    <mergeCell ref="A75:D76"/>
    <mergeCell ref="A60:D61"/>
    <mergeCell ref="A69:D70"/>
    <mergeCell ref="A54:D55"/>
    <mergeCell ref="A45:D46"/>
    <mergeCell ref="M9:N11"/>
    <mergeCell ref="L6:L8"/>
    <mergeCell ref="M6:N8"/>
    <mergeCell ref="G3:G6"/>
    <mergeCell ref="A10:E10"/>
    <mergeCell ref="A11:E11"/>
    <mergeCell ref="H3:H6"/>
    <mergeCell ref="I3:I6"/>
    <mergeCell ref="L9:L11"/>
    <mergeCell ref="J3:J6"/>
    <mergeCell ref="F3:F6"/>
  </mergeCells>
  <phoneticPr fontId="5" type="noConversion"/>
  <conditionalFormatting sqref="D33:D34 D48:D49 D64 D79">
    <cfRule type="cellIs" dxfId="17" priority="7" stopIfTrue="1" operator="equal">
      <formula>1</formula>
    </cfRule>
    <cfRule type="cellIs" dxfId="16" priority="8" stopIfTrue="1" operator="equal">
      <formula>0</formula>
    </cfRule>
    <cfRule type="expression" dxfId="15" priority="9" stopIfTrue="1">
      <formula>(B33-TODAY())&lt;1</formula>
    </cfRule>
  </conditionalFormatting>
  <conditionalFormatting sqref="B3:B6">
    <cfRule type="cellIs" dxfId="14" priority="10" stopIfTrue="1" operator="equal">
      <formula>$U$4</formula>
    </cfRule>
    <cfRule type="cellIs" dxfId="13" priority="11" stopIfTrue="1" operator="equal">
      <formula>$U$5</formula>
    </cfRule>
    <cfRule type="cellIs" dxfId="12" priority="12" stopIfTrue="1" operator="equal">
      <formula>$U$3</formula>
    </cfRule>
  </conditionalFormatting>
  <conditionalFormatting sqref="H3:H6">
    <cfRule type="cellIs" dxfId="11" priority="13" stopIfTrue="1" operator="lessThan">
      <formula>$G$3</formula>
    </cfRule>
  </conditionalFormatting>
  <conditionalFormatting sqref="D63">
    <cfRule type="cellIs" dxfId="10" priority="4" stopIfTrue="1" operator="equal">
      <formula>1</formula>
    </cfRule>
    <cfRule type="cellIs" dxfId="9" priority="5" stopIfTrue="1" operator="equal">
      <formula>0</formula>
    </cfRule>
    <cfRule type="expression" dxfId="8" priority="6" stopIfTrue="1">
      <formula>(B63-TODAY())&lt;1</formula>
    </cfRule>
  </conditionalFormatting>
  <conditionalFormatting sqref="D78">
    <cfRule type="cellIs" dxfId="7" priority="1" stopIfTrue="1" operator="equal">
      <formula>1</formula>
    </cfRule>
    <cfRule type="cellIs" dxfId="6" priority="2" stopIfTrue="1" operator="equal">
      <formula>0</formula>
    </cfRule>
    <cfRule type="expression" dxfId="5" priority="3" stopIfTrue="1">
      <formula>(B78-TODAY())&lt;1</formula>
    </cfRule>
  </conditionalFormatting>
  <dataValidations count="1">
    <dataValidation type="list" allowBlank="1" showInputMessage="1" showErrorMessage="1" sqref="B3:B6" xr:uid="{4622E27E-6854-4798-8E13-3E907C599676}">
      <formula1>$U$3:$U$5</formula1>
    </dataValidation>
  </dataValidations>
  <pageMargins left="0.75" right="0.75" top="1" bottom="1" header="0.5" footer="0.5"/>
  <pageSetup orientation="landscape" r:id="rId1"/>
  <headerFooter alignWithMargins="0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6C73-4916-4FCC-894C-FC8927816316}">
  <dimension ref="A1:CC3"/>
  <sheetViews>
    <sheetView tabSelected="1" workbookViewId="0">
      <selection activeCell="A3" sqref="A3:CC3"/>
    </sheetView>
  </sheetViews>
  <sheetFormatPr defaultRowHeight="12.75" x14ac:dyDescent="0.2"/>
  <cols>
    <col min="1" max="1" width="12.140625" customWidth="1"/>
  </cols>
  <sheetData>
    <row r="1" spans="1:81" x14ac:dyDescent="0.2">
      <c r="A1" t="s">
        <v>2829</v>
      </c>
      <c r="B1" t="s">
        <v>2830</v>
      </c>
      <c r="C1" t="s">
        <v>2831</v>
      </c>
      <c r="D1" t="s">
        <v>2832</v>
      </c>
      <c r="E1" t="s">
        <v>2833</v>
      </c>
      <c r="F1" t="s">
        <v>2834</v>
      </c>
      <c r="G1" t="s">
        <v>2835</v>
      </c>
      <c r="H1" t="s">
        <v>2836</v>
      </c>
      <c r="I1" t="s">
        <v>2837</v>
      </c>
      <c r="J1" t="s">
        <v>2838</v>
      </c>
      <c r="K1" t="s">
        <v>2839</v>
      </c>
      <c r="L1" t="s">
        <v>2840</v>
      </c>
      <c r="M1" t="s">
        <v>2841</v>
      </c>
      <c r="N1" t="s">
        <v>2842</v>
      </c>
      <c r="O1" t="s">
        <v>2843</v>
      </c>
      <c r="P1" t="s">
        <v>2844</v>
      </c>
      <c r="Q1" t="s">
        <v>2845</v>
      </c>
      <c r="R1" t="s">
        <v>2846</v>
      </c>
      <c r="S1" t="s">
        <v>2847</v>
      </c>
      <c r="T1" t="s">
        <v>2848</v>
      </c>
      <c r="U1" t="s">
        <v>2849</v>
      </c>
      <c r="V1" t="s">
        <v>2850</v>
      </c>
      <c r="W1" t="s">
        <v>2851</v>
      </c>
      <c r="X1" t="s">
        <v>2852</v>
      </c>
      <c r="Y1" t="s">
        <v>2853</v>
      </c>
      <c r="Z1" t="s">
        <v>2854</v>
      </c>
      <c r="AA1" t="s">
        <v>2855</v>
      </c>
      <c r="AB1" t="s">
        <v>2856</v>
      </c>
      <c r="AC1" t="s">
        <v>2857</v>
      </c>
      <c r="AD1" t="s">
        <v>2858</v>
      </c>
      <c r="AE1" t="s">
        <v>2859</v>
      </c>
      <c r="AF1" t="s">
        <v>2860</v>
      </c>
      <c r="AG1" t="s">
        <v>2861</v>
      </c>
      <c r="AH1" t="s">
        <v>2862</v>
      </c>
      <c r="AI1" t="s">
        <v>2863</v>
      </c>
      <c r="AJ1" t="s">
        <v>2864</v>
      </c>
      <c r="AK1" t="s">
        <v>2865</v>
      </c>
      <c r="AL1" t="s">
        <v>2866</v>
      </c>
      <c r="AM1" t="s">
        <v>2867</v>
      </c>
      <c r="AN1" t="s">
        <v>2868</v>
      </c>
      <c r="AO1" t="s">
        <v>2869</v>
      </c>
      <c r="AP1" t="s">
        <v>2870</v>
      </c>
      <c r="AQ1" t="s">
        <v>2871</v>
      </c>
      <c r="AR1" t="s">
        <v>2872</v>
      </c>
      <c r="AS1" t="s">
        <v>2873</v>
      </c>
      <c r="AT1" t="s">
        <v>2874</v>
      </c>
      <c r="AU1" t="s">
        <v>2875</v>
      </c>
      <c r="AV1" t="s">
        <v>2876</v>
      </c>
      <c r="AW1" t="s">
        <v>2877</v>
      </c>
      <c r="AX1" t="s">
        <v>2878</v>
      </c>
      <c r="AY1" t="s">
        <v>2879</v>
      </c>
      <c r="AZ1" t="s">
        <v>2880</v>
      </c>
      <c r="BA1" t="s">
        <v>2881</v>
      </c>
    </row>
    <row r="2" spans="1:81" x14ac:dyDescent="0.2">
      <c r="A2" s="262">
        <v>46182</v>
      </c>
      <c r="B2">
        <v>1</v>
      </c>
      <c r="C2">
        <v>3</v>
      </c>
      <c r="D2">
        <v>1</v>
      </c>
      <c r="E2">
        <v>0</v>
      </c>
      <c r="F2">
        <v>3</v>
      </c>
      <c r="G2">
        <v>0</v>
      </c>
      <c r="H2">
        <v>0</v>
      </c>
      <c r="I2">
        <v>0</v>
      </c>
      <c r="J2">
        <v>5</v>
      </c>
      <c r="K2">
        <v>1</v>
      </c>
      <c r="L2">
        <v>0</v>
      </c>
      <c r="M2">
        <v>0</v>
      </c>
      <c r="N2">
        <v>4</v>
      </c>
      <c r="O2">
        <v>0</v>
      </c>
      <c r="P2">
        <v>0</v>
      </c>
      <c r="Q2">
        <v>0</v>
      </c>
      <c r="R2">
        <v>3</v>
      </c>
      <c r="S2">
        <v>3</v>
      </c>
      <c r="T2">
        <v>0</v>
      </c>
      <c r="U2">
        <v>0</v>
      </c>
      <c r="V2">
        <v>8</v>
      </c>
      <c r="W2">
        <v>5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3</v>
      </c>
      <c r="AE2">
        <v>1</v>
      </c>
      <c r="AF2">
        <v>1</v>
      </c>
      <c r="AG2">
        <v>0</v>
      </c>
      <c r="AH2">
        <v>2</v>
      </c>
      <c r="AI2">
        <v>1</v>
      </c>
      <c r="AJ2">
        <v>0</v>
      </c>
      <c r="AK2">
        <v>0</v>
      </c>
      <c r="AL2">
        <v>0</v>
      </c>
      <c r="AM2">
        <v>2</v>
      </c>
      <c r="AN2">
        <v>1</v>
      </c>
      <c r="AO2">
        <v>0</v>
      </c>
      <c r="AP2">
        <v>2</v>
      </c>
      <c r="AQ2">
        <v>0</v>
      </c>
      <c r="AR2">
        <v>0</v>
      </c>
      <c r="AS2">
        <v>0</v>
      </c>
      <c r="AT2">
        <v>4</v>
      </c>
      <c r="AU2">
        <v>0</v>
      </c>
      <c r="AV2">
        <v>0</v>
      </c>
      <c r="AW2">
        <v>0</v>
      </c>
      <c r="AX2">
        <v>1</v>
      </c>
      <c r="AY2">
        <v>3</v>
      </c>
      <c r="AZ2">
        <v>1</v>
      </c>
      <c r="BA2">
        <v>0</v>
      </c>
    </row>
    <row r="3" spans="1:81" x14ac:dyDescent="0.2">
      <c r="A3" s="262">
        <v>46183</v>
      </c>
      <c r="B3">
        <v>2</v>
      </c>
      <c r="C3">
        <v>2</v>
      </c>
      <c r="D3">
        <v>1</v>
      </c>
      <c r="E3">
        <v>0</v>
      </c>
      <c r="F3">
        <v>3</v>
      </c>
      <c r="G3">
        <v>0</v>
      </c>
      <c r="H3">
        <v>0</v>
      </c>
      <c r="I3">
        <v>0</v>
      </c>
      <c r="J3">
        <v>5</v>
      </c>
      <c r="K3">
        <v>1</v>
      </c>
      <c r="L3">
        <v>0</v>
      </c>
      <c r="M3">
        <v>0</v>
      </c>
      <c r="N3">
        <v>4</v>
      </c>
      <c r="O3">
        <v>0</v>
      </c>
      <c r="P3">
        <v>0</v>
      </c>
      <c r="Q3">
        <v>0</v>
      </c>
      <c r="R3">
        <v>4</v>
      </c>
      <c r="S3">
        <v>2</v>
      </c>
      <c r="T3">
        <v>0</v>
      </c>
      <c r="U3">
        <v>0</v>
      </c>
      <c r="V3">
        <v>8</v>
      </c>
      <c r="W3">
        <v>5</v>
      </c>
      <c r="X3">
        <v>0</v>
      </c>
      <c r="Y3">
        <v>0</v>
      </c>
      <c r="Z3">
        <v>1</v>
      </c>
      <c r="AA3">
        <v>0</v>
      </c>
      <c r="AB3">
        <v>0</v>
      </c>
      <c r="AC3">
        <v>0</v>
      </c>
      <c r="AD3">
        <v>3</v>
      </c>
      <c r="AE3">
        <v>1</v>
      </c>
      <c r="AF3">
        <v>1</v>
      </c>
      <c r="AG3">
        <v>0</v>
      </c>
      <c r="AH3">
        <v>1</v>
      </c>
      <c r="AI3">
        <v>2</v>
      </c>
      <c r="AJ3">
        <v>0</v>
      </c>
      <c r="AK3">
        <v>0</v>
      </c>
      <c r="AL3">
        <v>0</v>
      </c>
      <c r="AM3">
        <v>2</v>
      </c>
      <c r="AN3">
        <v>1</v>
      </c>
      <c r="AO3">
        <v>0</v>
      </c>
      <c r="AP3">
        <v>2</v>
      </c>
      <c r="AQ3">
        <v>0</v>
      </c>
      <c r="AR3">
        <v>0</v>
      </c>
      <c r="AS3">
        <v>0</v>
      </c>
      <c r="AT3">
        <v>2</v>
      </c>
      <c r="AU3">
        <v>2</v>
      </c>
      <c r="AV3">
        <v>1</v>
      </c>
      <c r="AW3">
        <v>0</v>
      </c>
      <c r="AX3">
        <v>4</v>
      </c>
      <c r="AY3">
        <v>0</v>
      </c>
      <c r="AZ3">
        <v>1</v>
      </c>
      <c r="BA3">
        <v>0</v>
      </c>
      <c r="BB3">
        <v>1</v>
      </c>
      <c r="BC3">
        <v>1</v>
      </c>
      <c r="BD3">
        <v>0</v>
      </c>
      <c r="BE3">
        <v>0</v>
      </c>
      <c r="BF3">
        <v>2</v>
      </c>
      <c r="BG3">
        <v>2</v>
      </c>
      <c r="BH3">
        <v>0</v>
      </c>
      <c r="BI3">
        <v>0</v>
      </c>
      <c r="BJ3">
        <v>3</v>
      </c>
      <c r="BK3">
        <v>0</v>
      </c>
      <c r="BL3">
        <v>0</v>
      </c>
      <c r="BM3">
        <v>0</v>
      </c>
      <c r="BN3">
        <v>3</v>
      </c>
      <c r="BO3">
        <v>0</v>
      </c>
      <c r="BP3">
        <v>0</v>
      </c>
      <c r="BQ3">
        <v>0</v>
      </c>
      <c r="BR3">
        <v>1</v>
      </c>
      <c r="BS3">
        <v>0</v>
      </c>
      <c r="BT3">
        <v>0</v>
      </c>
      <c r="BU3">
        <v>0</v>
      </c>
      <c r="BV3">
        <v>2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35" baseType="lpstr">
      <vt:lpstr>Critical AMSE Min Max List</vt:lpstr>
      <vt:lpstr>minimum amse list</vt:lpstr>
      <vt:lpstr>AMSE Stats</vt:lpstr>
      <vt:lpstr>Calibrated Items</vt:lpstr>
      <vt:lpstr>Stands</vt:lpstr>
      <vt:lpstr>Tire Status</vt:lpstr>
      <vt:lpstr>Tools &amp; Test Equipment</vt:lpstr>
      <vt:lpstr>Critical Tool &amp; Equip Stats</vt:lpstr>
      <vt:lpstr>EPOS_LifeVest</vt:lpstr>
      <vt:lpstr>Overall Stats</vt:lpstr>
      <vt:lpstr>Vehicle List</vt:lpstr>
      <vt:lpstr>Tire Status </vt:lpstr>
      <vt:lpstr>Palletized Seat Tracking</vt:lpstr>
      <vt:lpstr>ATGL Tracking</vt:lpstr>
      <vt:lpstr>Maintenance Platforms (HSC)</vt:lpstr>
      <vt:lpstr>AMSE-deleted or WSM involved</vt:lpstr>
      <vt:lpstr>Not Inspected by AMSE</vt:lpstr>
      <vt:lpstr>Lifting Accessories</vt:lpstr>
      <vt:lpstr>ISU</vt:lpstr>
      <vt:lpstr>6 Hgr Split</vt:lpstr>
      <vt:lpstr>Small Engines</vt:lpstr>
      <vt:lpstr>ATGL Archive</vt:lpstr>
      <vt:lpstr>GC Log</vt:lpstr>
      <vt:lpstr>Chart1</vt:lpstr>
      <vt:lpstr>'AMSE-deleted or WSM involved'!Print_Area</vt:lpstr>
      <vt:lpstr>'ATGL Archive'!Print_Area</vt:lpstr>
      <vt:lpstr>'Critical AMSE Min Max List'!Print_Area</vt:lpstr>
      <vt:lpstr>'Lifting Accessories'!Print_Area</vt:lpstr>
      <vt:lpstr>'Tire Status'!Print_Area</vt:lpstr>
      <vt:lpstr>'Tire Status '!Print_Area</vt:lpstr>
      <vt:lpstr>'Vehicle List'!Print_Area</vt:lpstr>
      <vt:lpstr>'AMSE-deleted or WSM involved'!Print_Titles</vt:lpstr>
      <vt:lpstr>'Critical AMSE Min Max List'!Print_Titles</vt:lpstr>
      <vt:lpstr>'Lifting Accessories'!Print_Titles</vt:lpstr>
      <vt:lpstr>'Tire Status'!Print_Titles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2026-06-09T21:07:58Z</dcterms:created>
  <dcterms:modified xsi:type="dcterms:W3CDTF">2026-06-10T20:33:53Z</dcterms:modified>
  <cp:category/>
  <cp:contentStatus/>
</cp:coreProperties>
</file>